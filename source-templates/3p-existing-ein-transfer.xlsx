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" sheetId="1" r:id="rId5"/>
  </sheets>
  <definedNames/>
  <calcPr/>
</workbook>
</file>

<file path=xl/sharedStrings.xml><?xml version="1.0" encoding="utf-8"?>
<sst xmlns="http://schemas.openxmlformats.org/spreadsheetml/2006/main" count="398" uniqueCount="106">
  <si>
    <t>Pattern x Brand — TikTok Shop 3P Onboarding (Existing TTS, EIN Transfer)</t>
  </si>
  <si>
    <t>Bar colour = owner:  Pattern (orange)  ·  Brand (green)  ·  Pattern/Brand joint (blue).   Edit the Start and Due columns to move a bar; the chart redraws automatically.  Scenario: TikTok Shop 3P — Existing TTS needs EIN Transfer.</t>
  </si>
  <si>
    <t>Aug</t>
  </si>
  <si>
    <t>Sep</t>
  </si>
  <si>
    <t>Oct</t>
  </si>
  <si>
    <t>Category</t>
  </si>
  <si>
    <t>Action #</t>
  </si>
  <si>
    <t>Task</t>
  </si>
  <si>
    <t>Owner</t>
  </si>
  <si>
    <t>Start</t>
  </si>
  <si>
    <t>Due</t>
  </si>
  <si>
    <t>Days</t>
  </si>
  <si>
    <t>Status</t>
  </si>
  <si>
    <t>Notes</t>
  </si>
  <si>
    <t>T</t>
  </si>
  <si>
    <t>W</t>
  </si>
  <si>
    <t>F</t>
  </si>
  <si>
    <t>S</t>
  </si>
  <si>
    <t>M</t>
  </si>
  <si>
    <t>EIN Transfer</t>
  </si>
  <si>
    <t>Onboarding package generated and sent to brand</t>
  </si>
  <si>
    <t>Pattern</t>
  </si>
  <si>
    <t>Not Started</t>
  </si>
  <si>
    <t>Wholesale pricing gathered from brand</t>
  </si>
  <si>
    <t>Brand</t>
  </si>
  <si>
    <t>Brand completes onboarding package (Shelf/PIS) with product and pricing details</t>
  </si>
  <si>
    <t>Eligibility checklist confirmed (shop status, withdrawals, holiday mode, OTP)</t>
  </si>
  <si>
    <t>Pattern/Brand</t>
  </si>
  <si>
    <t>OPM assigned; onboarding logged in Asana</t>
  </si>
  <si>
    <t>SCM assigned</t>
  </si>
  <si>
    <t>Seller Center owner access obtained or transferred</t>
  </si>
  <si>
    <t>New owner (Pattern) entity information submitted to TikTok</t>
  </si>
  <si>
    <t>Novation Agreement signed and uploaded</t>
  </si>
  <si>
    <t>Entity transfer submitted for TikTok review</t>
  </si>
  <si>
    <t>TikTok review completed (approved, or corrections resubmitted)</t>
  </si>
  <si>
    <t>New bank account bound under Pattern's entity</t>
  </si>
  <si>
    <t>Brand Authorization and Category Qualification re-applied under Pattern's entity</t>
  </si>
  <si>
    <t>BA/CQ re-approved; affected products reactivated</t>
  </si>
  <si>
    <t>Shelf listing and finance approval completed</t>
  </si>
  <si>
    <t>Old SKUs removed from Connect; listings mapped to Pattern SKUs</t>
  </si>
  <si>
    <t>Sync verified across Shelf, TikTok Shop, and Connect</t>
  </si>
  <si>
    <t>Inventory confirmed with Inventory POC</t>
  </si>
  <si>
    <t>Fulfillment go-live</t>
  </si>
  <si>
    <t>Previous agency unlinked; TikTok handle connected</t>
  </si>
  <si>
    <t>Euka and IPPC accounts created</t>
  </si>
  <si>
    <t>Operations</t>
  </si>
  <si>
    <t>Send existing Product Listing details listed in shop</t>
  </si>
  <si>
    <t>Create Brand in Shelf and list all products</t>
  </si>
  <si>
    <t>Set up Connect integration for Brand shop with placeholder</t>
  </si>
  <si>
    <t>Complete Connect integration and Brand shop connection</t>
  </si>
  <si>
    <t>Double-check listed products in shop match the assortment in Shelf</t>
  </si>
  <si>
    <t>Gather re-approval documents</t>
  </si>
  <si>
    <t>Re-approval documents submitted</t>
  </si>
  <si>
    <t>Brand Authorization &amp; Category Qualification re-approved</t>
  </si>
  <si>
    <t>Once BA &amp; CQ is done, push the products live</t>
  </si>
  <si>
    <t>Map product SKUs to Shelf as per Brand shop SKUs</t>
  </si>
  <si>
    <t>Place test order to check flow</t>
  </si>
  <si>
    <t>Confirm order details are flowing to required teams &amp; POCs</t>
  </si>
  <si>
    <t>Merchandising</t>
  </si>
  <si>
    <t>Align on new hero SKUs</t>
  </si>
  <si>
    <t>Align on bundles (see Pattern recommendations in the H2 plan)</t>
  </si>
  <si>
    <t>Gather image/copy assets for new hero SKUs and bundles</t>
  </si>
  <si>
    <t>Audit existing live SKUs</t>
  </si>
  <si>
    <t>Build and optimize listings for new hero SKUs and bundles</t>
  </si>
  <si>
    <t>Optimize listing combinations</t>
  </si>
  <si>
    <t>Confirm free shipping</t>
  </si>
  <si>
    <t>Confirm discount floors for all SKUs and bundles</t>
  </si>
  <si>
    <t>Align on discount calendar</t>
  </si>
  <si>
    <t>Affiliate</t>
  </si>
  <si>
    <t>Send existing briefs</t>
  </si>
  <si>
    <t>Send existing affiliate partnership info - who are the top affiliates</t>
  </si>
  <si>
    <t>Send existing affiliate partnership info - what are we offering top affiliates (increased commissions, retainer fees, challenges, etc.)</t>
  </si>
  <si>
    <t>Send existing affiliate partnership info - is there a community channel (e.g. Discord) and who runs it</t>
  </si>
  <si>
    <t>Send existing affiliate partnership info - what is brand involvement with top affiliates, webinars, etc.</t>
  </si>
  <si>
    <t>Product education session - Pattern team learns what makes the products unique</t>
  </si>
  <si>
    <t>Find 20 new L3+ creators for launch (target 40 total videos)</t>
  </si>
  <si>
    <t>20 new L3+ creator samples sent</t>
  </si>
  <si>
    <t>Review and optimize existing briefs</t>
  </si>
  <si>
    <t>Create new briefs for new hero SKUs</t>
  </si>
  <si>
    <t>Finalize outreach messaging (Euka, email &lt;L3, email &gt;L3, Pattern retainer L4+)</t>
  </si>
  <si>
    <t>Engage top 10-30 creators for retainers where applicable</t>
  </si>
  <si>
    <t>Launch outreach</t>
  </si>
  <si>
    <t>Existing creator retainers solidified</t>
  </si>
  <si>
    <t>20 new L3+ creator videos live</t>
  </si>
  <si>
    <t>Inventory</t>
  </si>
  <si>
    <t>Create demand plan for existing SKUs</t>
  </si>
  <si>
    <t>Create demand plan for new hero SKUs and bundles</t>
  </si>
  <si>
    <t>Combine demand plan with Amazon Business (if applicable)</t>
  </si>
  <si>
    <t>Internal setup complete for all products</t>
  </si>
  <si>
    <t>Cut PO for new hero SKUs, bundles, and any needed inventory for existing SKUs</t>
  </si>
  <si>
    <t>Verify inventory quantities at FBT ahead of the EIN transfer</t>
  </si>
  <si>
    <t>Cut PO for necessary inventory at FBT ahead of the EIN transfer</t>
  </si>
  <si>
    <t>Work with FBT to return remaining FBT inventory to Brand</t>
  </si>
  <si>
    <t>New inventory received at Pattern</t>
  </si>
  <si>
    <t>Cut PO for all products for FBT</t>
  </si>
  <si>
    <t>New inventory received at FBT</t>
  </si>
  <si>
    <t>Advertising</t>
  </si>
  <si>
    <t>Change advertising partnership type from Other to Media Agency</t>
  </si>
  <si>
    <t>Approve partnership change</t>
  </si>
  <si>
    <t>Confirm advertising operations</t>
  </si>
  <si>
    <t>Launch ads</t>
  </si>
  <si>
    <t>Brand Handles</t>
  </si>
  <si>
    <t>Confirm marketing account structure (must include LIVE and AIGC)</t>
  </si>
  <si>
    <t>Launch additional marketing accounts needed</t>
  </si>
  <si>
    <t>Link marketing accounts</t>
  </si>
  <si>
    <t>Align on plan for LIVE and AIGC content for marketing accounts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</si>
</sst>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"/>
    <numFmt numFmtId="165" formatCode="mm/dd/yy"/>
  </numFmts>
  <fonts count="9">
    <font>
      <sz val="11.0"/>
      <color theme="1"/>
      <name val="Calibri"/>
      <scheme val="minor"/>
    </font>
    <font>
      <b/>
      <sz val="14.0"/>
      <color rgb="FF1F3864"/>
      <name val="Arial"/>
    </font>
    <font>
      <sz val="11.0"/>
      <color theme="1"/>
      <name val="Calibri"/>
    </font>
    <font>
      <i/>
      <sz val="9.0"/>
      <color rgb="FF767676"/>
      <name val="Arial"/>
    </font>
    <font>
      <b/>
      <sz val="9.0"/>
      <color rgb="FF1F3864"/>
      <name val="Arial"/>
    </font>
    <font>
      <sz val="8.0"/>
      <color rgb="FF222222"/>
      <name val="Arial"/>
    </font>
    <font>
      <b/>
      <sz val="10.0"/>
      <color rgb="FFFFFFFF"/>
      <name val="Arial"/>
    </font>
    <font>
      <b/>
      <sz val="8.0"/>
      <color rgb="FFFFFFFF"/>
      <name val="Arial"/>
    </font>
    <font>
      <b/>
      <sz val="10.0"/>
      <color rgb="FF1F3864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CE3F0"/>
        <bgColor rgb="FFDCE3F0"/>
      </patternFill>
    </fill>
  </fills>
  <borders count="3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1" fillId="2" fontId="6" numFmtId="0" xfId="0" applyAlignment="1" applyBorder="1" applyFill="1" applyFont="1">
      <alignment shrinkToFit="0" vertical="bottom" wrapText="0"/>
    </xf>
    <xf borderId="1" fillId="2" fontId="6" numFmtId="0" xfId="0" applyAlignment="1" applyBorder="1" applyFill="1" applyFont="1">
      <alignment horizontal="center" shrinkToFit="0" vertical="bottom" wrapText="0"/>
    </xf>
    <xf borderId="1" fillId="2" fontId="7" numFmtId="0" xfId="0" applyAlignment="1" applyBorder="1" applyFill="1" applyFont="1">
      <alignment horizontal="center" shrinkToFit="0" vertical="bottom" wrapText="0"/>
    </xf>
    <xf borderId="2" fillId="3" fontId="8" numFmtId="0" xfId="0" applyAlignment="1" applyBorder="1" applyFill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shrinkToFit="0" vertical="center" wrapText="1"/>
    </xf>
    <xf borderId="2" fillId="0" fontId="2" numFmtId="165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7">
    <dxf>
      <font>
        <color rgb="FF6A9955"/>
      </font>
      <fill>
        <patternFill patternType="solid">
          <fgColor rgb="FFE2EFDA"/>
          <bgColor rgb="FFE2EFDA"/>
        </patternFill>
      </fill>
      <border/>
    </dxf>
    <dxf>
      <font>
        <color rgb="FFC00000"/>
      </font>
      <fill>
        <patternFill patternType="solid">
          <fgColor rgb="FFFCE4E4"/>
          <bgColor rgb="FFFCE4E4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F2A85C"/>
          <bgColor rgb="FFF2A85C"/>
        </patternFill>
      </fill>
      <border/>
    </dxf>
    <dxf>
      <font/>
      <fill>
        <patternFill patternType="solid">
          <fgColor rgb="FF3F7F5F"/>
          <bgColor rgb="FF3F7F5F"/>
        </patternFill>
      </fill>
      <border/>
    </dxf>
    <dxf>
      <font/>
      <fill>
        <patternFill patternType="solid">
          <fgColor rgb="FF5B7FBF"/>
          <bgColor rgb="FF5B7FBF"/>
        </patternFill>
      </fill>
      <border/>
    </dxf>
    <dxf>
      <font/>
      <fill>
        <patternFill patternType="solid">
          <fgColor rgb="FFF1F1F1"/>
          <bgColor rgb="FFF1F1F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0"/>
    <col customWidth="1" min="2" max="2" width="8.0"/>
    <col customWidth="1" min="3" max="3" width="62.0"/>
    <col customWidth="1" min="4" max="4" width="13.0"/>
    <col customWidth="1" min="5" max="6" width="10.0"/>
    <col customWidth="1" min="7" max="7" width="7.0"/>
    <col customWidth="1" min="8" max="8" width="13.0"/>
    <col customWidth="1" min="9" max="9" width="24.0"/>
    <col customWidth="1" min="10" max="82" width="2.71"/>
  </cols>
  <sheetData>
    <row r="1" ht="17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</row>
    <row r="2" ht="15.0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</row>
    <row r="3" ht="15.0" customHeight="1">
      <c r="A3" s="2"/>
      <c r="B3" s="2"/>
      <c r="C3" s="2"/>
      <c r="D3" s="2"/>
      <c r="E3" s="2"/>
      <c r="F3" s="2"/>
      <c r="G3" s="2"/>
      <c r="H3" s="2"/>
      <c r="I3" s="2"/>
      <c r="J3" s="4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4" t="s">
        <v>3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4" t="s">
        <v>4</v>
      </c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5">
        <v>46238.0</v>
      </c>
      <c r="K4" s="5">
        <v>46239.0</v>
      </c>
      <c r="L4" s="5">
        <v>46240.0</v>
      </c>
      <c r="M4" s="5">
        <v>46241.0</v>
      </c>
      <c r="N4" s="5">
        <v>46242.0</v>
      </c>
      <c r="O4" s="5">
        <v>46243.0</v>
      </c>
      <c r="P4" s="5">
        <v>46244.0</v>
      </c>
      <c r="Q4" s="5">
        <v>46245.0</v>
      </c>
      <c r="R4" s="5">
        <v>46246.0</v>
      </c>
      <c r="S4" s="5">
        <v>46247.0</v>
      </c>
      <c r="T4" s="5">
        <v>46248.0</v>
      </c>
      <c r="U4" s="5">
        <v>46249.0</v>
      </c>
      <c r="V4" s="5">
        <v>46250.0</v>
      </c>
      <c r="W4" s="5">
        <v>46251.0</v>
      </c>
      <c r="X4" s="5">
        <v>46252.0</v>
      </c>
      <c r="Y4" s="5">
        <v>46253.0</v>
      </c>
      <c r="Z4" s="5">
        <v>46254.0</v>
      </c>
      <c r="AA4" s="5">
        <v>46255.0</v>
      </c>
      <c r="AB4" s="5">
        <v>46256.0</v>
      </c>
      <c r="AC4" s="5">
        <v>46257.0</v>
      </c>
      <c r="AD4" s="5">
        <v>46258.0</v>
      </c>
      <c r="AE4" s="5">
        <v>46259.0</v>
      </c>
      <c r="AF4" s="5">
        <v>46260.0</v>
      </c>
      <c r="AG4" s="5">
        <v>46261.0</v>
      </c>
      <c r="AH4" s="5">
        <v>46262.0</v>
      </c>
      <c r="AI4" s="5">
        <v>46263.0</v>
      </c>
      <c r="AJ4" s="5">
        <v>46264.0</v>
      </c>
      <c r="AK4" s="5">
        <v>46265.0</v>
      </c>
      <c r="AL4" s="5">
        <v>46266.0</v>
      </c>
      <c r="AM4" s="5">
        <v>46267.0</v>
      </c>
      <c r="AN4" s="5">
        <v>46268.0</v>
      </c>
      <c r="AO4" s="5">
        <v>46269.0</v>
      </c>
      <c r="AP4" s="5">
        <v>46270.0</v>
      </c>
      <c r="AQ4" s="5">
        <v>46271.0</v>
      </c>
      <c r="AR4" s="5">
        <v>46272.0</v>
      </c>
      <c r="AS4" s="5">
        <v>46273.0</v>
      </c>
      <c r="AT4" s="5">
        <v>46274.0</v>
      </c>
      <c r="AU4" s="5">
        <v>46275.0</v>
      </c>
      <c r="AV4" s="5">
        <v>46276.0</v>
      </c>
      <c r="AW4" s="5">
        <v>46277.0</v>
      </c>
      <c r="AX4" s="5">
        <v>46278.0</v>
      </c>
      <c r="AY4" s="5">
        <v>46279.0</v>
      </c>
      <c r="AZ4" s="5">
        <v>46280.0</v>
      </c>
      <c r="BA4" s="5">
        <v>46281.0</v>
      </c>
      <c r="BB4" s="5">
        <v>46282.0</v>
      </c>
      <c r="BC4" s="5">
        <v>46283.0</v>
      </c>
      <c r="BD4" s="5">
        <v>46284.0</v>
      </c>
      <c r="BE4" s="5">
        <v>46285.0</v>
      </c>
      <c r="BF4" s="5">
        <v>46286.0</v>
      </c>
      <c r="BG4" s="5">
        <v>46287.0</v>
      </c>
      <c r="BH4" s="5">
        <v>46288.0</v>
      </c>
      <c r="BI4" s="5">
        <v>46289.0</v>
      </c>
      <c r="BJ4" s="5">
        <v>46290.0</v>
      </c>
      <c r="BK4" s="5">
        <v>46291.0</v>
      </c>
      <c r="BL4" s="5">
        <v>46292.0</v>
      </c>
      <c r="BM4" s="5">
        <v>46293.0</v>
      </c>
      <c r="BN4" s="5">
        <v>46294.0</v>
      </c>
      <c r="BO4" s="5">
        <v>46295.0</v>
      </c>
      <c r="BP4" s="5">
        <v>46296.0</v>
      </c>
      <c r="BQ4" s="5">
        <v>46297.0</v>
      </c>
      <c r="BR4" s="5">
        <v>46298.0</v>
      </c>
      <c r="BS4" s="5">
        <v>46299.0</v>
      </c>
      <c r="BT4" s="5">
        <v>46300.0</v>
      </c>
      <c r="BU4" s="5">
        <v>46301.0</v>
      </c>
      <c r="BV4" s="5">
        <v>46302.0</v>
      </c>
      <c r="BW4" s="5">
        <v>46303.0</v>
      </c>
      <c r="BX4" s="5">
        <v>46304.0</v>
      </c>
      <c r="BY4" s="5">
        <v>46305.0</v>
      </c>
      <c r="BZ4" s="5">
        <v>46306.0</v>
      </c>
      <c r="CA4" s="5">
        <v>46307.0</v>
      </c>
      <c r="CB4" s="5">
        <v>46308.0</v>
      </c>
      <c r="CC4" s="5">
        <v>46309.0</v>
      </c>
      <c r="CD4" s="5">
        <v>46310.0</v>
      </c>
    </row>
    <row r="5" ht="15.0" customHeight="1">
      <c r="A5" s="6" t="s">
        <v>5</v>
      </c>
      <c r="B5" s="7" t="s">
        <v>6</v>
      </c>
      <c r="C5" s="6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6" t="s">
        <v>13</v>
      </c>
      <c r="J5" s="8" t="s">
        <v>14</v>
      </c>
      <c r="K5" s="8" t="s">
        <v>15</v>
      </c>
      <c r="L5" s="8" t="s">
        <v>14</v>
      </c>
      <c r="M5" s="8" t="s">
        <v>16</v>
      </c>
      <c r="N5" s="8" t="s">
        <v>17</v>
      </c>
      <c r="O5" s="8" t="s">
        <v>17</v>
      </c>
      <c r="P5" s="8" t="s">
        <v>18</v>
      </c>
      <c r="Q5" s="8" t="s">
        <v>14</v>
      </c>
      <c r="R5" s="8" t="s">
        <v>15</v>
      </c>
      <c r="S5" s="8" t="s">
        <v>14</v>
      </c>
      <c r="T5" s="8" t="s">
        <v>16</v>
      </c>
      <c r="U5" s="8" t="s">
        <v>17</v>
      </c>
      <c r="V5" s="8" t="s">
        <v>17</v>
      </c>
      <c r="W5" s="8" t="s">
        <v>18</v>
      </c>
      <c r="X5" s="8" t="s">
        <v>14</v>
      </c>
      <c r="Y5" s="8" t="s">
        <v>15</v>
      </c>
      <c r="Z5" s="8" t="s">
        <v>14</v>
      </c>
      <c r="AA5" s="8" t="s">
        <v>16</v>
      </c>
      <c r="AB5" s="8" t="s">
        <v>17</v>
      </c>
      <c r="AC5" s="8" t="s">
        <v>17</v>
      </c>
      <c r="AD5" s="8" t="s">
        <v>18</v>
      </c>
      <c r="AE5" s="8" t="s">
        <v>14</v>
      </c>
      <c r="AF5" s="8" t="s">
        <v>15</v>
      </c>
      <c r="AG5" s="8" t="s">
        <v>14</v>
      </c>
      <c r="AH5" s="8" t="s">
        <v>16</v>
      </c>
      <c r="AI5" s="8" t="s">
        <v>17</v>
      </c>
      <c r="AJ5" s="8" t="s">
        <v>17</v>
      </c>
      <c r="AK5" s="8" t="s">
        <v>18</v>
      </c>
      <c r="AL5" s="8" t="s">
        <v>14</v>
      </c>
      <c r="AM5" s="8" t="s">
        <v>15</v>
      </c>
      <c r="AN5" s="8" t="s">
        <v>14</v>
      </c>
      <c r="AO5" s="8" t="s">
        <v>16</v>
      </c>
      <c r="AP5" s="8" t="s">
        <v>17</v>
      </c>
      <c r="AQ5" s="8" t="s">
        <v>17</v>
      </c>
      <c r="AR5" s="8" t="s">
        <v>18</v>
      </c>
      <c r="AS5" s="8" t="s">
        <v>14</v>
      </c>
      <c r="AT5" s="8" t="s">
        <v>15</v>
      </c>
      <c r="AU5" s="8" t="s">
        <v>14</v>
      </c>
      <c r="AV5" s="8" t="s">
        <v>16</v>
      </c>
      <c r="AW5" s="8" t="s">
        <v>17</v>
      </c>
      <c r="AX5" s="8" t="s">
        <v>17</v>
      </c>
      <c r="AY5" s="8" t="s">
        <v>18</v>
      </c>
      <c r="AZ5" s="8" t="s">
        <v>14</v>
      </c>
      <c r="BA5" s="8" t="s">
        <v>15</v>
      </c>
      <c r="BB5" s="8" t="s">
        <v>14</v>
      </c>
      <c r="BC5" s="8" t="s">
        <v>16</v>
      </c>
      <c r="BD5" s="8" t="s">
        <v>17</v>
      </c>
      <c r="BE5" s="8" t="s">
        <v>17</v>
      </c>
      <c r="BF5" s="8" t="s">
        <v>18</v>
      </c>
      <c r="BG5" s="8" t="s">
        <v>14</v>
      </c>
      <c r="BH5" s="8" t="s">
        <v>15</v>
      </c>
      <c r="BI5" s="8" t="s">
        <v>14</v>
      </c>
      <c r="BJ5" s="8" t="s">
        <v>16</v>
      </c>
      <c r="BK5" s="8" t="s">
        <v>17</v>
      </c>
      <c r="BL5" s="8" t="s">
        <v>17</v>
      </c>
      <c r="BM5" s="8" t="s">
        <v>18</v>
      </c>
      <c r="BN5" s="8" t="s">
        <v>14</v>
      </c>
      <c r="BO5" s="8" t="s">
        <v>15</v>
      </c>
      <c r="BP5" s="8" t="s">
        <v>14</v>
      </c>
      <c r="BQ5" s="8" t="s">
        <v>16</v>
      </c>
      <c r="BR5" s="8" t="s">
        <v>17</v>
      </c>
      <c r="BS5" s="8" t="s">
        <v>17</v>
      </c>
      <c r="BT5" s="8" t="s">
        <v>18</v>
      </c>
      <c r="BU5" s="8" t="s">
        <v>14</v>
      </c>
      <c r="BV5" s="8" t="s">
        <v>15</v>
      </c>
      <c r="BW5" s="8" t="s">
        <v>14</v>
      </c>
      <c r="BX5" s="8" t="s">
        <v>16</v>
      </c>
      <c r="BY5" s="8" t="s">
        <v>17</v>
      </c>
      <c r="BZ5" s="8" t="s">
        <v>17</v>
      </c>
      <c r="CA5" s="8" t="s">
        <v>18</v>
      </c>
      <c r="CB5" s="8" t="s">
        <v>14</v>
      </c>
      <c r="CC5" s="8" t="s">
        <v>15</v>
      </c>
      <c r="CD5" s="8" t="s">
        <v>14</v>
      </c>
    </row>
    <row r="6" ht="15.0" customHeight="1">
      <c r="A6" s="9" t="s">
        <v>19</v>
      </c>
      <c r="B6" s="9"/>
      <c r="C6" s="9"/>
      <c r="D6" s="9"/>
      <c r="E6" s="9"/>
      <c r="F6" s="9"/>
      <c r="G6" s="9"/>
      <c r="H6" s="9"/>
      <c r="I6" s="9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</row>
    <row r="7" ht="15.0" customHeight="1">
      <c r="A7" s="10" t="s">
        <v>19</v>
      </c>
      <c r="B7" s="11">
        <v>1.0</v>
      </c>
      <c r="C7" s="12" t="s">
        <v>20</v>
      </c>
      <c r="D7" s="11" t="s">
        <v>21</v>
      </c>
      <c r="E7" s="13">
        <v>46238.0</v>
      </c>
      <c r="F7" s="13">
        <v>46239.0</v>
      </c>
      <c r="G7" s="11">
        <f t="shared" ref="G7:G27" si="1">IF(OR($E7="",$F7=""),"",$F7-$E7+1)</f>
        <v>2</v>
      </c>
      <c r="H7" s="11" t="s">
        <v>22</v>
      </c>
      <c r="I7" s="1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</row>
    <row r="8" ht="15.0" customHeight="1">
      <c r="A8" s="10" t="s">
        <v>19</v>
      </c>
      <c r="B8" s="11">
        <v>2.0</v>
      </c>
      <c r="C8" s="12" t="s">
        <v>23</v>
      </c>
      <c r="D8" s="11" t="s">
        <v>24</v>
      </c>
      <c r="E8" s="13">
        <v>46239.0</v>
      </c>
      <c r="F8" s="13">
        <v>46240.0</v>
      </c>
      <c r="G8" s="11">
        <f t="shared" si="1"/>
        <v>2</v>
      </c>
      <c r="H8" s="11" t="s">
        <v>22</v>
      </c>
      <c r="I8" s="1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</row>
    <row r="9" ht="27.75" customHeight="1">
      <c r="A9" s="10" t="s">
        <v>19</v>
      </c>
      <c r="B9" s="11">
        <v>3.0</v>
      </c>
      <c r="C9" s="12" t="s">
        <v>25</v>
      </c>
      <c r="D9" s="11" t="s">
        <v>24</v>
      </c>
      <c r="E9" s="13">
        <v>46240.0</v>
      </c>
      <c r="F9" s="13">
        <v>46241.0</v>
      </c>
      <c r="G9" s="11">
        <f t="shared" si="1"/>
        <v>2</v>
      </c>
      <c r="H9" s="11" t="s">
        <v>22</v>
      </c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</row>
    <row r="10" ht="27.75" customHeight="1">
      <c r="A10" s="10" t="s">
        <v>19</v>
      </c>
      <c r="B10" s="11">
        <v>4.0</v>
      </c>
      <c r="C10" s="12" t="s">
        <v>26</v>
      </c>
      <c r="D10" s="11" t="s">
        <v>27</v>
      </c>
      <c r="E10" s="13">
        <v>46241.0</v>
      </c>
      <c r="F10" s="13">
        <v>46244.0</v>
      </c>
      <c r="G10" s="11">
        <f t="shared" si="1"/>
        <v>4</v>
      </c>
      <c r="H10" s="11" t="s">
        <v>22</v>
      </c>
      <c r="I10" s="1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</row>
    <row r="11" ht="15.0" customHeight="1">
      <c r="A11" s="10" t="s">
        <v>19</v>
      </c>
      <c r="B11" s="11">
        <v>5.0</v>
      </c>
      <c r="C11" s="12" t="s">
        <v>28</v>
      </c>
      <c r="D11" s="11" t="s">
        <v>21</v>
      </c>
      <c r="E11" s="13">
        <v>46244.0</v>
      </c>
      <c r="F11" s="13">
        <v>46244.0</v>
      </c>
      <c r="G11" s="11">
        <f t="shared" si="1"/>
        <v>1</v>
      </c>
      <c r="H11" s="11" t="s">
        <v>22</v>
      </c>
      <c r="I11" s="1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</row>
    <row r="12" ht="15.0" customHeight="1">
      <c r="A12" s="10" t="s">
        <v>19</v>
      </c>
      <c r="B12" s="11">
        <v>6.0</v>
      </c>
      <c r="C12" s="12" t="s">
        <v>29</v>
      </c>
      <c r="D12" s="11" t="s">
        <v>21</v>
      </c>
      <c r="E12" s="13">
        <v>46244.0</v>
      </c>
      <c r="F12" s="13">
        <v>46245.0</v>
      </c>
      <c r="G12" s="11">
        <f t="shared" si="1"/>
        <v>2</v>
      </c>
      <c r="H12" s="11" t="s">
        <v>22</v>
      </c>
      <c r="I12" s="1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</row>
    <row r="13" ht="15.0" customHeight="1">
      <c r="A13" s="10" t="s">
        <v>19</v>
      </c>
      <c r="B13" s="11">
        <v>7.0</v>
      </c>
      <c r="C13" s="12" t="s">
        <v>30</v>
      </c>
      <c r="D13" s="11" t="s">
        <v>24</v>
      </c>
      <c r="E13" s="13">
        <v>46245.0</v>
      </c>
      <c r="F13" s="13">
        <v>46246.0</v>
      </c>
      <c r="G13" s="11">
        <f t="shared" si="1"/>
        <v>2</v>
      </c>
      <c r="H13" s="11" t="s">
        <v>22</v>
      </c>
      <c r="I13" s="1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</row>
    <row r="14" ht="15.0" customHeight="1">
      <c r="A14" s="10" t="s">
        <v>19</v>
      </c>
      <c r="B14" s="11">
        <v>8.0</v>
      </c>
      <c r="C14" s="12" t="s">
        <v>31</v>
      </c>
      <c r="D14" s="11" t="s">
        <v>21</v>
      </c>
      <c r="E14" s="13">
        <v>46246.0</v>
      </c>
      <c r="F14" s="13">
        <v>46252.0</v>
      </c>
      <c r="G14" s="11">
        <f t="shared" si="1"/>
        <v>7</v>
      </c>
      <c r="H14" s="11" t="s">
        <v>22</v>
      </c>
      <c r="I14" s="1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</row>
    <row r="15" ht="15.0" customHeight="1">
      <c r="A15" s="10" t="s">
        <v>19</v>
      </c>
      <c r="B15" s="11">
        <v>9.0</v>
      </c>
      <c r="C15" s="12" t="s">
        <v>32</v>
      </c>
      <c r="D15" s="11" t="s">
        <v>27</v>
      </c>
      <c r="E15" s="13">
        <v>46252.0</v>
      </c>
      <c r="F15" s="13">
        <v>46254.0</v>
      </c>
      <c r="G15" s="11">
        <f t="shared" si="1"/>
        <v>3</v>
      </c>
      <c r="H15" s="11" t="s">
        <v>22</v>
      </c>
      <c r="I15" s="10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</row>
    <row r="16" ht="15.0" customHeight="1">
      <c r="A16" s="10" t="s">
        <v>19</v>
      </c>
      <c r="B16" s="11">
        <v>10.0</v>
      </c>
      <c r="C16" s="12" t="s">
        <v>33</v>
      </c>
      <c r="D16" s="11" t="s">
        <v>21</v>
      </c>
      <c r="E16" s="13">
        <v>46254.0</v>
      </c>
      <c r="F16" s="13">
        <v>46254.0</v>
      </c>
      <c r="G16" s="11">
        <f t="shared" si="1"/>
        <v>1</v>
      </c>
      <c r="H16" s="11" t="s">
        <v>22</v>
      </c>
      <c r="I16" s="1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</row>
    <row r="17" ht="15.0" customHeight="1">
      <c r="A17" s="10" t="s">
        <v>19</v>
      </c>
      <c r="B17" s="11">
        <v>11.0</v>
      </c>
      <c r="C17" s="12" t="s">
        <v>34</v>
      </c>
      <c r="D17" s="11" t="s">
        <v>21</v>
      </c>
      <c r="E17" s="13">
        <v>46254.0</v>
      </c>
      <c r="F17" s="13">
        <v>46263.0</v>
      </c>
      <c r="G17" s="11">
        <f t="shared" si="1"/>
        <v>10</v>
      </c>
      <c r="H17" s="11" t="s">
        <v>22</v>
      </c>
      <c r="I17" s="10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</row>
    <row r="18" ht="15.0" customHeight="1">
      <c r="A18" s="10" t="s">
        <v>19</v>
      </c>
      <c r="B18" s="11">
        <v>12.0</v>
      </c>
      <c r="C18" s="12" t="s">
        <v>35</v>
      </c>
      <c r="D18" s="11" t="s">
        <v>21</v>
      </c>
      <c r="E18" s="13">
        <v>46263.0</v>
      </c>
      <c r="F18" s="13">
        <v>46264.0</v>
      </c>
      <c r="G18" s="11">
        <f t="shared" si="1"/>
        <v>2</v>
      </c>
      <c r="H18" s="11" t="s">
        <v>22</v>
      </c>
      <c r="I18" s="10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</row>
    <row r="19" ht="27.75" customHeight="1">
      <c r="A19" s="10" t="s">
        <v>19</v>
      </c>
      <c r="B19" s="11">
        <v>13.0</v>
      </c>
      <c r="C19" s="12" t="s">
        <v>36</v>
      </c>
      <c r="D19" s="11" t="s">
        <v>21</v>
      </c>
      <c r="E19" s="13">
        <v>46264.0</v>
      </c>
      <c r="F19" s="13">
        <v>46267.0</v>
      </c>
      <c r="G19" s="11">
        <f t="shared" si="1"/>
        <v>4</v>
      </c>
      <c r="H19" s="11" t="s">
        <v>22</v>
      </c>
      <c r="I19" s="10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</row>
    <row r="20" ht="15.0" customHeight="1">
      <c r="A20" s="10" t="s">
        <v>19</v>
      </c>
      <c r="B20" s="11">
        <v>14.0</v>
      </c>
      <c r="C20" s="12" t="s">
        <v>37</v>
      </c>
      <c r="D20" s="11" t="s">
        <v>21</v>
      </c>
      <c r="E20" s="13">
        <v>46267.0</v>
      </c>
      <c r="F20" s="13">
        <v>46272.0</v>
      </c>
      <c r="G20" s="11">
        <f t="shared" si="1"/>
        <v>6</v>
      </c>
      <c r="H20" s="11" t="s">
        <v>22</v>
      </c>
      <c r="I20" s="1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</row>
    <row r="21" ht="15.0" customHeight="1">
      <c r="A21" s="10" t="s">
        <v>19</v>
      </c>
      <c r="B21" s="11">
        <v>15.0</v>
      </c>
      <c r="C21" s="12" t="s">
        <v>38</v>
      </c>
      <c r="D21" s="11" t="s">
        <v>21</v>
      </c>
      <c r="E21" s="13">
        <v>46272.0</v>
      </c>
      <c r="F21" s="13">
        <v>46275.0</v>
      </c>
      <c r="G21" s="11">
        <f t="shared" si="1"/>
        <v>4</v>
      </c>
      <c r="H21" s="11" t="s">
        <v>22</v>
      </c>
      <c r="I21" s="1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</row>
    <row r="22" ht="15.0" customHeight="1">
      <c r="A22" s="10" t="s">
        <v>19</v>
      </c>
      <c r="B22" s="11">
        <v>16.0</v>
      </c>
      <c r="C22" s="12" t="s">
        <v>39</v>
      </c>
      <c r="D22" s="11" t="s">
        <v>21</v>
      </c>
      <c r="E22" s="13">
        <v>46275.0</v>
      </c>
      <c r="F22" s="13">
        <v>46277.0</v>
      </c>
      <c r="G22" s="11">
        <f t="shared" si="1"/>
        <v>3</v>
      </c>
      <c r="H22" s="11" t="s">
        <v>22</v>
      </c>
      <c r="I22" s="1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</row>
    <row r="23" ht="15.0" customHeight="1">
      <c r="A23" s="10" t="s">
        <v>19</v>
      </c>
      <c r="B23" s="11">
        <v>17.0</v>
      </c>
      <c r="C23" s="12" t="s">
        <v>40</v>
      </c>
      <c r="D23" s="11" t="s">
        <v>21</v>
      </c>
      <c r="E23" s="13">
        <v>46277.0</v>
      </c>
      <c r="F23" s="13">
        <v>46278.0</v>
      </c>
      <c r="G23" s="11">
        <f t="shared" si="1"/>
        <v>2</v>
      </c>
      <c r="H23" s="11" t="s">
        <v>22</v>
      </c>
      <c r="I23" s="1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</row>
    <row r="24" ht="15.0" customHeight="1">
      <c r="A24" s="10" t="s">
        <v>19</v>
      </c>
      <c r="B24" s="11">
        <v>18.0</v>
      </c>
      <c r="C24" s="12" t="s">
        <v>41</v>
      </c>
      <c r="D24" s="11" t="s">
        <v>21</v>
      </c>
      <c r="E24" s="13">
        <v>46278.0</v>
      </c>
      <c r="F24" s="13">
        <v>46278.0</v>
      </c>
      <c r="G24" s="11">
        <f t="shared" si="1"/>
        <v>1</v>
      </c>
      <c r="H24" s="11" t="s">
        <v>22</v>
      </c>
      <c r="I24" s="1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</row>
    <row r="25" ht="15.0" customHeight="1">
      <c r="A25" s="10" t="s">
        <v>19</v>
      </c>
      <c r="B25" s="11">
        <v>19.0</v>
      </c>
      <c r="C25" s="12" t="s">
        <v>42</v>
      </c>
      <c r="D25" s="11" t="s">
        <v>21</v>
      </c>
      <c r="E25" s="13">
        <v>46278.0</v>
      </c>
      <c r="F25" s="13">
        <v>46278.0</v>
      </c>
      <c r="G25" s="11">
        <f t="shared" si="1"/>
        <v>1</v>
      </c>
      <c r="H25" s="11" t="s">
        <v>22</v>
      </c>
      <c r="I25" s="1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</row>
    <row r="26" ht="15.0" customHeight="1">
      <c r="A26" s="10" t="s">
        <v>19</v>
      </c>
      <c r="B26" s="11">
        <v>20.0</v>
      </c>
      <c r="C26" s="12" t="s">
        <v>43</v>
      </c>
      <c r="D26" s="11" t="s">
        <v>21</v>
      </c>
      <c r="E26" s="13">
        <v>46278.0</v>
      </c>
      <c r="F26" s="13">
        <v>46279.0</v>
      </c>
      <c r="G26" s="11">
        <f t="shared" si="1"/>
        <v>2</v>
      </c>
      <c r="H26" s="11" t="s">
        <v>22</v>
      </c>
      <c r="I26" s="1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</row>
    <row r="27" ht="15.0" customHeight="1">
      <c r="A27" s="10" t="s">
        <v>19</v>
      </c>
      <c r="B27" s="11">
        <v>21.0</v>
      </c>
      <c r="C27" s="12" t="s">
        <v>44</v>
      </c>
      <c r="D27" s="11" t="s">
        <v>21</v>
      </c>
      <c r="E27" s="13">
        <v>46279.0</v>
      </c>
      <c r="F27" s="13">
        <v>46280.0</v>
      </c>
      <c r="G27" s="11">
        <f t="shared" si="1"/>
        <v>2</v>
      </c>
      <c r="H27" s="11" t="s">
        <v>22</v>
      </c>
      <c r="I27" s="1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</row>
    <row r="28" ht="15.0" customHeight="1">
      <c r="A28" s="9" t="s">
        <v>45</v>
      </c>
      <c r="B28" s="9"/>
      <c r="C28" s="9"/>
      <c r="D28" s="9"/>
      <c r="E28" s="9"/>
      <c r="F28" s="9"/>
      <c r="G28" s="9"/>
      <c r="H28" s="9"/>
      <c r="I28" s="9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</row>
    <row r="29" ht="15.0" customHeight="1">
      <c r="A29" s="10" t="s">
        <v>45</v>
      </c>
      <c r="B29" s="11">
        <v>1.0</v>
      </c>
      <c r="C29" s="12" t="s">
        <v>46</v>
      </c>
      <c r="D29" s="11" t="s">
        <v>24</v>
      </c>
      <c r="E29" s="13">
        <v>46238.0</v>
      </c>
      <c r="F29" s="13">
        <v>46238.0</v>
      </c>
      <c r="G29" s="11">
        <f t="shared" ref="G29:G40" si="2">IF(OR($E29="",$F29=""),"",$F29-$E29+1)</f>
        <v>1</v>
      </c>
      <c r="H29" s="11" t="s">
        <v>22</v>
      </c>
      <c r="I29" s="1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</row>
    <row r="30" ht="15.0" customHeight="1">
      <c r="A30" s="10" t="s">
        <v>45</v>
      </c>
      <c r="B30" s="11">
        <v>2.0</v>
      </c>
      <c r="C30" s="12" t="s">
        <v>47</v>
      </c>
      <c r="D30" s="11" t="s">
        <v>21</v>
      </c>
      <c r="E30" s="13">
        <v>46238.0</v>
      </c>
      <c r="F30" s="13">
        <v>46241.0</v>
      </c>
      <c r="G30" s="11">
        <f t="shared" si="2"/>
        <v>4</v>
      </c>
      <c r="H30" s="11" t="s">
        <v>22</v>
      </c>
      <c r="I30" s="1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</row>
    <row r="31" ht="15.0" customHeight="1">
      <c r="A31" s="10" t="s">
        <v>45</v>
      </c>
      <c r="B31" s="11">
        <v>3.0</v>
      </c>
      <c r="C31" s="12" t="s">
        <v>48</v>
      </c>
      <c r="D31" s="11" t="s">
        <v>21</v>
      </c>
      <c r="E31" s="13">
        <v>46241.0</v>
      </c>
      <c r="F31" s="13">
        <v>46241.0</v>
      </c>
      <c r="G31" s="11">
        <f t="shared" si="2"/>
        <v>1</v>
      </c>
      <c r="H31" s="11" t="s">
        <v>22</v>
      </c>
      <c r="I31" s="10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</row>
    <row r="32" ht="15.0" customHeight="1">
      <c r="A32" s="10" t="s">
        <v>45</v>
      </c>
      <c r="B32" s="11">
        <v>4.0</v>
      </c>
      <c r="C32" s="12" t="s">
        <v>49</v>
      </c>
      <c r="D32" s="11" t="s">
        <v>21</v>
      </c>
      <c r="E32" s="13">
        <v>46241.0</v>
      </c>
      <c r="F32" s="13">
        <v>46248.0</v>
      </c>
      <c r="G32" s="11">
        <f t="shared" si="2"/>
        <v>8</v>
      </c>
      <c r="H32" s="11" t="s">
        <v>22</v>
      </c>
      <c r="I32" s="10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</row>
    <row r="33" ht="15.0" customHeight="1">
      <c r="A33" s="10" t="s">
        <v>45</v>
      </c>
      <c r="B33" s="11">
        <v>5.0</v>
      </c>
      <c r="C33" s="12" t="s">
        <v>50</v>
      </c>
      <c r="D33" s="11" t="s">
        <v>21</v>
      </c>
      <c r="E33" s="13">
        <v>46248.0</v>
      </c>
      <c r="F33" s="13">
        <v>46251.0</v>
      </c>
      <c r="G33" s="11">
        <f t="shared" si="2"/>
        <v>4</v>
      </c>
      <c r="H33" s="11" t="s">
        <v>22</v>
      </c>
      <c r="I33" s="10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</row>
    <row r="34" ht="15.0" customHeight="1">
      <c r="A34" s="10" t="s">
        <v>45</v>
      </c>
      <c r="B34" s="11">
        <v>6.0</v>
      </c>
      <c r="C34" s="12" t="s">
        <v>51</v>
      </c>
      <c r="D34" s="11" t="s">
        <v>24</v>
      </c>
      <c r="E34" s="13">
        <v>46251.0</v>
      </c>
      <c r="F34" s="13">
        <v>46251.0</v>
      </c>
      <c r="G34" s="11">
        <f t="shared" si="2"/>
        <v>1</v>
      </c>
      <c r="H34" s="11" t="s">
        <v>22</v>
      </c>
      <c r="I34" s="10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</row>
    <row r="35" ht="15.0" customHeight="1">
      <c r="A35" s="10" t="s">
        <v>45</v>
      </c>
      <c r="B35" s="11">
        <v>7.0</v>
      </c>
      <c r="C35" s="12" t="s">
        <v>52</v>
      </c>
      <c r="D35" s="11" t="s">
        <v>21</v>
      </c>
      <c r="E35" s="13">
        <v>46251.0</v>
      </c>
      <c r="F35" s="13">
        <v>46252.0</v>
      </c>
      <c r="G35" s="11">
        <f t="shared" si="2"/>
        <v>2</v>
      </c>
      <c r="H35" s="11" t="s">
        <v>22</v>
      </c>
      <c r="I35" s="10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</row>
    <row r="36" ht="15.0" customHeight="1">
      <c r="A36" s="10" t="s">
        <v>45</v>
      </c>
      <c r="B36" s="11">
        <v>8.0</v>
      </c>
      <c r="C36" s="12" t="s">
        <v>53</v>
      </c>
      <c r="D36" s="11" t="s">
        <v>21</v>
      </c>
      <c r="E36" s="13">
        <v>46252.0</v>
      </c>
      <c r="F36" s="13">
        <v>46255.0</v>
      </c>
      <c r="G36" s="11">
        <f t="shared" si="2"/>
        <v>4</v>
      </c>
      <c r="H36" s="11" t="s">
        <v>22</v>
      </c>
      <c r="I36" s="10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</row>
    <row r="37" ht="15.0" customHeight="1">
      <c r="A37" s="10" t="s">
        <v>45</v>
      </c>
      <c r="B37" s="11">
        <v>9.0</v>
      </c>
      <c r="C37" s="12" t="s">
        <v>54</v>
      </c>
      <c r="D37" s="11" t="s">
        <v>24</v>
      </c>
      <c r="E37" s="13">
        <v>46255.0</v>
      </c>
      <c r="F37" s="13">
        <v>46258.0</v>
      </c>
      <c r="G37" s="11">
        <f t="shared" si="2"/>
        <v>4</v>
      </c>
      <c r="H37" s="11" t="s">
        <v>22</v>
      </c>
      <c r="I37" s="10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</row>
    <row r="38" ht="15.0" customHeight="1">
      <c r="A38" s="10" t="s">
        <v>45</v>
      </c>
      <c r="B38" s="11">
        <v>10.0</v>
      </c>
      <c r="C38" s="12" t="s">
        <v>55</v>
      </c>
      <c r="D38" s="11" t="s">
        <v>21</v>
      </c>
      <c r="E38" s="13">
        <v>46258.0</v>
      </c>
      <c r="F38" s="13">
        <v>46258.0</v>
      </c>
      <c r="G38" s="11">
        <f t="shared" si="2"/>
        <v>1</v>
      </c>
      <c r="H38" s="11" t="s">
        <v>22</v>
      </c>
      <c r="I38" s="10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</row>
    <row r="39" ht="15.0" customHeight="1">
      <c r="A39" s="10" t="s">
        <v>45</v>
      </c>
      <c r="B39" s="11">
        <v>11.0</v>
      </c>
      <c r="C39" s="12" t="s">
        <v>56</v>
      </c>
      <c r="D39" s="11" t="s">
        <v>21</v>
      </c>
      <c r="E39" s="13">
        <v>46258.0</v>
      </c>
      <c r="F39" s="13">
        <v>46258.0</v>
      </c>
      <c r="G39" s="11">
        <f t="shared" si="2"/>
        <v>1</v>
      </c>
      <c r="H39" s="11" t="s">
        <v>22</v>
      </c>
      <c r="I39" s="10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</row>
    <row r="40" ht="15.0" customHeight="1">
      <c r="A40" s="10" t="s">
        <v>45</v>
      </c>
      <c r="B40" s="11">
        <v>12.0</v>
      </c>
      <c r="C40" s="12" t="s">
        <v>57</v>
      </c>
      <c r="D40" s="11" t="s">
        <v>21</v>
      </c>
      <c r="E40" s="13">
        <v>46258.0</v>
      </c>
      <c r="F40" s="13">
        <v>46262.0</v>
      </c>
      <c r="G40" s="11">
        <f t="shared" si="2"/>
        <v>5</v>
      </c>
      <c r="H40" s="11" t="s">
        <v>22</v>
      </c>
      <c r="I40" s="10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</row>
    <row r="41" ht="15.0" customHeight="1">
      <c r="A41" s="9" t="s">
        <v>58</v>
      </c>
      <c r="B41" s="9"/>
      <c r="C41" s="9"/>
      <c r="D41" s="9"/>
      <c r="E41" s="9"/>
      <c r="F41" s="9"/>
      <c r="G41" s="9"/>
      <c r="H41" s="9"/>
      <c r="I41" s="9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</row>
    <row r="42" ht="15.0" customHeight="1">
      <c r="A42" s="10" t="s">
        <v>58</v>
      </c>
      <c r="B42" s="11">
        <v>1.0</v>
      </c>
      <c r="C42" s="12" t="s">
        <v>59</v>
      </c>
      <c r="D42" s="11" t="s">
        <v>27</v>
      </c>
      <c r="E42" s="13">
        <v>46238.0</v>
      </c>
      <c r="F42" s="13">
        <v>46241.0</v>
      </c>
      <c r="G42" s="11">
        <f t="shared" ref="G42:G50" si="3">IF(OR($E42="",$F42=""),"",$F42-$E42+1)</f>
        <v>4</v>
      </c>
      <c r="H42" s="11" t="s">
        <v>22</v>
      </c>
      <c r="I42" s="10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</row>
    <row r="43" ht="15.0" customHeight="1">
      <c r="A43" s="10" t="s">
        <v>58</v>
      </c>
      <c r="B43" s="11">
        <v>2.0</v>
      </c>
      <c r="C43" s="12" t="s">
        <v>60</v>
      </c>
      <c r="D43" s="11" t="s">
        <v>27</v>
      </c>
      <c r="E43" s="13">
        <v>46241.0</v>
      </c>
      <c r="F43" s="13">
        <v>46241.0</v>
      </c>
      <c r="G43" s="11">
        <f t="shared" si="3"/>
        <v>1</v>
      </c>
      <c r="H43" s="11" t="s">
        <v>22</v>
      </c>
      <c r="I43" s="10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</row>
    <row r="44" ht="15.0" customHeight="1">
      <c r="A44" s="10" t="s">
        <v>58</v>
      </c>
      <c r="B44" s="11">
        <v>3.0</v>
      </c>
      <c r="C44" s="12" t="s">
        <v>61</v>
      </c>
      <c r="D44" s="11" t="s">
        <v>24</v>
      </c>
      <c r="E44" s="13">
        <v>46241.0</v>
      </c>
      <c r="F44" s="13">
        <v>46244.0</v>
      </c>
      <c r="G44" s="11">
        <f t="shared" si="3"/>
        <v>4</v>
      </c>
      <c r="H44" s="11" t="s">
        <v>22</v>
      </c>
      <c r="I44" s="10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</row>
    <row r="45" ht="15.0" customHeight="1">
      <c r="A45" s="10" t="s">
        <v>58</v>
      </c>
      <c r="B45" s="11">
        <v>4.0</v>
      </c>
      <c r="C45" s="12" t="s">
        <v>62</v>
      </c>
      <c r="D45" s="11" t="s">
        <v>21</v>
      </c>
      <c r="E45" s="13">
        <v>46244.0</v>
      </c>
      <c r="F45" s="13">
        <v>46248.0</v>
      </c>
      <c r="G45" s="11">
        <f t="shared" si="3"/>
        <v>5</v>
      </c>
      <c r="H45" s="11" t="s">
        <v>22</v>
      </c>
      <c r="I45" s="10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</row>
    <row r="46" ht="15.0" customHeight="1">
      <c r="A46" s="10" t="s">
        <v>58</v>
      </c>
      <c r="B46" s="11">
        <v>5.0</v>
      </c>
      <c r="C46" s="12" t="s">
        <v>63</v>
      </c>
      <c r="D46" s="11" t="s">
        <v>21</v>
      </c>
      <c r="E46" s="13">
        <v>46248.0</v>
      </c>
      <c r="F46" s="13">
        <v>46255.0</v>
      </c>
      <c r="G46" s="11">
        <f t="shared" si="3"/>
        <v>8</v>
      </c>
      <c r="H46" s="11" t="s">
        <v>22</v>
      </c>
      <c r="I46" s="10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</row>
    <row r="47" ht="15.0" customHeight="1">
      <c r="A47" s="10" t="s">
        <v>58</v>
      </c>
      <c r="B47" s="11">
        <v>6.0</v>
      </c>
      <c r="C47" s="12" t="s">
        <v>64</v>
      </c>
      <c r="D47" s="11" t="s">
        <v>27</v>
      </c>
      <c r="E47" s="13">
        <v>46255.0</v>
      </c>
      <c r="F47" s="13">
        <v>46255.0</v>
      </c>
      <c r="G47" s="11">
        <f t="shared" si="3"/>
        <v>1</v>
      </c>
      <c r="H47" s="11" t="s">
        <v>22</v>
      </c>
      <c r="I47" s="10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</row>
    <row r="48" ht="15.0" customHeight="1">
      <c r="A48" s="10" t="s">
        <v>58</v>
      </c>
      <c r="B48" s="11">
        <v>7.0</v>
      </c>
      <c r="C48" s="12" t="s">
        <v>65</v>
      </c>
      <c r="D48" s="11" t="s">
        <v>21</v>
      </c>
      <c r="E48" s="13">
        <v>46255.0</v>
      </c>
      <c r="F48" s="13">
        <v>46255.0</v>
      </c>
      <c r="G48" s="11">
        <f t="shared" si="3"/>
        <v>1</v>
      </c>
      <c r="H48" s="11" t="s">
        <v>22</v>
      </c>
      <c r="I48" s="10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</row>
    <row r="49" ht="15.0" customHeight="1">
      <c r="A49" s="10" t="s">
        <v>58</v>
      </c>
      <c r="B49" s="11">
        <v>8.0</v>
      </c>
      <c r="C49" s="12" t="s">
        <v>66</v>
      </c>
      <c r="D49" s="11" t="s">
        <v>24</v>
      </c>
      <c r="E49" s="13">
        <v>46255.0</v>
      </c>
      <c r="F49" s="13">
        <v>46255.0</v>
      </c>
      <c r="G49" s="11">
        <f t="shared" si="3"/>
        <v>1</v>
      </c>
      <c r="H49" s="11" t="s">
        <v>22</v>
      </c>
      <c r="I49" s="10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</row>
    <row r="50" ht="15.0" customHeight="1">
      <c r="A50" s="10" t="s">
        <v>58</v>
      </c>
      <c r="B50" s="11">
        <v>9.0</v>
      </c>
      <c r="C50" s="12" t="s">
        <v>67</v>
      </c>
      <c r="D50" s="11" t="s">
        <v>27</v>
      </c>
      <c r="E50" s="13">
        <v>46255.0</v>
      </c>
      <c r="F50" s="13">
        <v>46260.0</v>
      </c>
      <c r="G50" s="11">
        <f t="shared" si="3"/>
        <v>6</v>
      </c>
      <c r="H50" s="11" t="s">
        <v>22</v>
      </c>
      <c r="I50" s="10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</row>
    <row r="51" ht="15.0" customHeight="1">
      <c r="A51" s="9" t="s">
        <v>68</v>
      </c>
      <c r="B51" s="9"/>
      <c r="C51" s="9"/>
      <c r="D51" s="9"/>
      <c r="E51" s="9"/>
      <c r="F51" s="9"/>
      <c r="G51" s="9"/>
      <c r="H51" s="9"/>
      <c r="I51" s="9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</row>
    <row r="52" ht="15.0" customHeight="1">
      <c r="A52" s="10" t="s">
        <v>68</v>
      </c>
      <c r="B52" s="11">
        <v>1.0</v>
      </c>
      <c r="C52" s="12" t="s">
        <v>69</v>
      </c>
      <c r="D52" s="11" t="s">
        <v>24</v>
      </c>
      <c r="E52" s="13">
        <v>46238.0</v>
      </c>
      <c r="F52" s="13">
        <v>46238.0</v>
      </c>
      <c r="G52" s="11">
        <f t="shared" ref="G52:G66" si="4">IF(OR($E52="",$F52=""),"",$F52-$E52+1)</f>
        <v>1</v>
      </c>
      <c r="H52" s="11" t="s">
        <v>22</v>
      </c>
      <c r="I52" s="10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</row>
    <row r="53" ht="15.0" customHeight="1">
      <c r="A53" s="10" t="s">
        <v>68</v>
      </c>
      <c r="B53" s="11">
        <v>2.0</v>
      </c>
      <c r="C53" s="12" t="s">
        <v>70</v>
      </c>
      <c r="D53" s="11" t="s">
        <v>24</v>
      </c>
      <c r="E53" s="13">
        <v>46238.0</v>
      </c>
      <c r="F53" s="13">
        <v>46238.0</v>
      </c>
      <c r="G53" s="11">
        <f t="shared" si="4"/>
        <v>1</v>
      </c>
      <c r="H53" s="11" t="s">
        <v>22</v>
      </c>
      <c r="I53" s="10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</row>
    <row r="54" ht="27.75" customHeight="1">
      <c r="A54" s="10" t="s">
        <v>68</v>
      </c>
      <c r="B54" s="11">
        <v>3.0</v>
      </c>
      <c r="C54" s="12" t="s">
        <v>71</v>
      </c>
      <c r="D54" s="11" t="s">
        <v>24</v>
      </c>
      <c r="E54" s="13">
        <v>46238.0</v>
      </c>
      <c r="F54" s="13">
        <v>46238.0</v>
      </c>
      <c r="G54" s="11">
        <f t="shared" si="4"/>
        <v>1</v>
      </c>
      <c r="H54" s="11" t="s">
        <v>22</v>
      </c>
      <c r="I54" s="10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</row>
    <row r="55" ht="27.75" customHeight="1">
      <c r="A55" s="10" t="s">
        <v>68</v>
      </c>
      <c r="B55" s="11">
        <v>4.0</v>
      </c>
      <c r="C55" s="12" t="s">
        <v>72</v>
      </c>
      <c r="D55" s="11" t="s">
        <v>24</v>
      </c>
      <c r="E55" s="13">
        <v>46238.0</v>
      </c>
      <c r="F55" s="13">
        <v>46238.0</v>
      </c>
      <c r="G55" s="11">
        <f t="shared" si="4"/>
        <v>1</v>
      </c>
      <c r="H55" s="11" t="s">
        <v>22</v>
      </c>
      <c r="I55" s="10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</row>
    <row r="56" ht="27.75" customHeight="1">
      <c r="A56" s="10" t="s">
        <v>68</v>
      </c>
      <c r="B56" s="11">
        <v>5.0</v>
      </c>
      <c r="C56" s="12" t="s">
        <v>73</v>
      </c>
      <c r="D56" s="11" t="s">
        <v>24</v>
      </c>
      <c r="E56" s="13">
        <v>46238.0</v>
      </c>
      <c r="F56" s="13">
        <v>46238.0</v>
      </c>
      <c r="G56" s="11">
        <f t="shared" si="4"/>
        <v>1</v>
      </c>
      <c r="H56" s="11" t="s">
        <v>22</v>
      </c>
      <c r="I56" s="10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</row>
    <row r="57" ht="27.75" customHeight="1">
      <c r="A57" s="10" t="s">
        <v>68</v>
      </c>
      <c r="B57" s="11">
        <v>6.0</v>
      </c>
      <c r="C57" s="12" t="s">
        <v>74</v>
      </c>
      <c r="D57" s="11" t="s">
        <v>24</v>
      </c>
      <c r="E57" s="13">
        <v>46238.0</v>
      </c>
      <c r="F57" s="13">
        <v>46241.0</v>
      </c>
      <c r="G57" s="11">
        <f t="shared" si="4"/>
        <v>4</v>
      </c>
      <c r="H57" s="11" t="s">
        <v>22</v>
      </c>
      <c r="I57" s="10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</row>
    <row r="58" ht="15.0" customHeight="1">
      <c r="A58" s="10" t="s">
        <v>68</v>
      </c>
      <c r="B58" s="11">
        <v>7.0</v>
      </c>
      <c r="C58" s="12" t="s">
        <v>75</v>
      </c>
      <c r="D58" s="11" t="s">
        <v>21</v>
      </c>
      <c r="E58" s="13">
        <v>46241.0</v>
      </c>
      <c r="F58" s="13">
        <v>46244.0</v>
      </c>
      <c r="G58" s="11">
        <f t="shared" si="4"/>
        <v>4</v>
      </c>
      <c r="H58" s="11" t="s">
        <v>22</v>
      </c>
      <c r="I58" s="10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</row>
    <row r="59" ht="15.0" customHeight="1">
      <c r="A59" s="10" t="s">
        <v>68</v>
      </c>
      <c r="B59" s="11">
        <v>8.0</v>
      </c>
      <c r="C59" s="12" t="s">
        <v>76</v>
      </c>
      <c r="D59" s="11" t="s">
        <v>21</v>
      </c>
      <c r="E59" s="13">
        <v>46244.0</v>
      </c>
      <c r="F59" s="13">
        <v>46245.0</v>
      </c>
      <c r="G59" s="11">
        <f t="shared" si="4"/>
        <v>2</v>
      </c>
      <c r="H59" s="11" t="s">
        <v>22</v>
      </c>
      <c r="I59" s="1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</row>
    <row r="60" ht="15.0" customHeight="1">
      <c r="A60" s="10" t="s">
        <v>68</v>
      </c>
      <c r="B60" s="11">
        <v>9.0</v>
      </c>
      <c r="C60" s="12" t="s">
        <v>77</v>
      </c>
      <c r="D60" s="11" t="s">
        <v>21</v>
      </c>
      <c r="E60" s="13">
        <v>46245.0</v>
      </c>
      <c r="F60" s="13">
        <v>46255.0</v>
      </c>
      <c r="G60" s="11">
        <f t="shared" si="4"/>
        <v>11</v>
      </c>
      <c r="H60" s="11" t="s">
        <v>22</v>
      </c>
      <c r="I60" s="1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</row>
    <row r="61" ht="15.0" customHeight="1">
      <c r="A61" s="10" t="s">
        <v>68</v>
      </c>
      <c r="B61" s="11">
        <v>10.0</v>
      </c>
      <c r="C61" s="12" t="s">
        <v>78</v>
      </c>
      <c r="D61" s="11" t="s">
        <v>21</v>
      </c>
      <c r="E61" s="13">
        <v>46255.0</v>
      </c>
      <c r="F61" s="13">
        <v>46255.0</v>
      </c>
      <c r="G61" s="11">
        <f t="shared" si="4"/>
        <v>1</v>
      </c>
      <c r="H61" s="11" t="s">
        <v>22</v>
      </c>
      <c r="I61" s="10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</row>
    <row r="62" ht="27.75" customHeight="1">
      <c r="A62" s="10" t="s">
        <v>68</v>
      </c>
      <c r="B62" s="11">
        <v>11.0</v>
      </c>
      <c r="C62" s="12" t="s">
        <v>79</v>
      </c>
      <c r="D62" s="11" t="s">
        <v>21</v>
      </c>
      <c r="E62" s="13">
        <v>46255.0</v>
      </c>
      <c r="F62" s="13">
        <v>46255.0</v>
      </c>
      <c r="G62" s="11">
        <f t="shared" si="4"/>
        <v>1</v>
      </c>
      <c r="H62" s="11" t="s">
        <v>22</v>
      </c>
      <c r="I62" s="10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</row>
    <row r="63" ht="15.0" customHeight="1">
      <c r="A63" s="10" t="s">
        <v>68</v>
      </c>
      <c r="B63" s="11">
        <v>12.0</v>
      </c>
      <c r="C63" s="12" t="s">
        <v>80</v>
      </c>
      <c r="D63" s="11" t="s">
        <v>21</v>
      </c>
      <c r="E63" s="13">
        <v>46255.0</v>
      </c>
      <c r="F63" s="13">
        <v>46255.0</v>
      </c>
      <c r="G63" s="11">
        <f t="shared" si="4"/>
        <v>1</v>
      </c>
      <c r="H63" s="11" t="s">
        <v>22</v>
      </c>
      <c r="I63" s="10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</row>
    <row r="64" ht="15.0" customHeight="1">
      <c r="A64" s="10" t="s">
        <v>68</v>
      </c>
      <c r="B64" s="11">
        <v>13.0</v>
      </c>
      <c r="C64" s="12" t="s">
        <v>81</v>
      </c>
      <c r="D64" s="11" t="s">
        <v>21</v>
      </c>
      <c r="E64" s="13">
        <v>46255.0</v>
      </c>
      <c r="F64" s="13">
        <v>46262.0</v>
      </c>
      <c r="G64" s="11">
        <f t="shared" si="4"/>
        <v>8</v>
      </c>
      <c r="H64" s="11" t="s">
        <v>22</v>
      </c>
      <c r="I64" s="10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</row>
    <row r="65" ht="15.0" customHeight="1">
      <c r="A65" s="10" t="s">
        <v>68</v>
      </c>
      <c r="B65" s="11">
        <v>14.0</v>
      </c>
      <c r="C65" s="12" t="s">
        <v>82</v>
      </c>
      <c r="D65" s="11" t="s">
        <v>21</v>
      </c>
      <c r="E65" s="13">
        <v>46262.0</v>
      </c>
      <c r="F65" s="13">
        <v>46262.0</v>
      </c>
      <c r="G65" s="11">
        <f t="shared" si="4"/>
        <v>1</v>
      </c>
      <c r="H65" s="11" t="s">
        <v>22</v>
      </c>
      <c r="I65" s="10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</row>
    <row r="66" ht="15.0" customHeight="1">
      <c r="A66" s="10" t="s">
        <v>68</v>
      </c>
      <c r="B66" s="11">
        <v>15.0</v>
      </c>
      <c r="C66" s="12" t="s">
        <v>83</v>
      </c>
      <c r="D66" s="11" t="s">
        <v>21</v>
      </c>
      <c r="E66" s="13">
        <v>46262.0</v>
      </c>
      <c r="F66" s="13">
        <v>46262.0</v>
      </c>
      <c r="G66" s="11">
        <f t="shared" si="4"/>
        <v>1</v>
      </c>
      <c r="H66" s="11" t="s">
        <v>22</v>
      </c>
      <c r="I66" s="10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</row>
    <row r="67" ht="15.0" customHeight="1">
      <c r="A67" s="9" t="s">
        <v>84</v>
      </c>
      <c r="B67" s="9"/>
      <c r="C67" s="9"/>
      <c r="D67" s="9"/>
      <c r="E67" s="9"/>
      <c r="F67" s="9"/>
      <c r="G67" s="9"/>
      <c r="H67" s="9"/>
      <c r="I67" s="9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</row>
    <row r="68" ht="15.0" customHeight="1">
      <c r="A68" s="10" t="s">
        <v>84</v>
      </c>
      <c r="B68" s="11">
        <v>1.0</v>
      </c>
      <c r="C68" s="12" t="s">
        <v>85</v>
      </c>
      <c r="D68" s="11" t="s">
        <v>21</v>
      </c>
      <c r="E68" s="13">
        <v>46238.0</v>
      </c>
      <c r="F68" s="13">
        <v>46241.0</v>
      </c>
      <c r="G68" s="11">
        <f t="shared" ref="G68:G78" si="5">IF(OR($E68="",$F68=""),"",$F68-$E68+1)</f>
        <v>4</v>
      </c>
      <c r="H68" s="11" t="s">
        <v>22</v>
      </c>
      <c r="I68" s="10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</row>
    <row r="69" ht="15.0" customHeight="1">
      <c r="A69" s="10" t="s">
        <v>84</v>
      </c>
      <c r="B69" s="11">
        <v>2.0</v>
      </c>
      <c r="C69" s="12" t="s">
        <v>86</v>
      </c>
      <c r="D69" s="11" t="s">
        <v>21</v>
      </c>
      <c r="E69" s="13">
        <v>46241.0</v>
      </c>
      <c r="F69" s="13">
        <v>46241.0</v>
      </c>
      <c r="G69" s="11">
        <f t="shared" si="5"/>
        <v>1</v>
      </c>
      <c r="H69" s="11" t="s">
        <v>22</v>
      </c>
      <c r="I69" s="10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</row>
    <row r="70" ht="15.0" customHeight="1">
      <c r="A70" s="10" t="s">
        <v>84</v>
      </c>
      <c r="B70" s="11">
        <v>3.0</v>
      </c>
      <c r="C70" s="12" t="s">
        <v>87</v>
      </c>
      <c r="D70" s="11" t="s">
        <v>21</v>
      </c>
      <c r="E70" s="13">
        <v>46241.0</v>
      </c>
      <c r="F70" s="13">
        <v>46245.0</v>
      </c>
      <c r="G70" s="11">
        <f t="shared" si="5"/>
        <v>5</v>
      </c>
      <c r="H70" s="11" t="s">
        <v>22</v>
      </c>
      <c r="I70" s="10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</row>
    <row r="71" ht="15.0" customHeight="1">
      <c r="A71" s="10" t="s">
        <v>84</v>
      </c>
      <c r="B71" s="11">
        <v>4.0</v>
      </c>
      <c r="C71" s="12" t="s">
        <v>88</v>
      </c>
      <c r="D71" s="11" t="s">
        <v>21</v>
      </c>
      <c r="E71" s="13">
        <v>46245.0</v>
      </c>
      <c r="F71" s="13">
        <v>46245.0</v>
      </c>
      <c r="G71" s="11">
        <f t="shared" si="5"/>
        <v>1</v>
      </c>
      <c r="H71" s="11" t="s">
        <v>22</v>
      </c>
      <c r="I71" s="10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</row>
    <row r="72" ht="27.75" customHeight="1">
      <c r="A72" s="10" t="s">
        <v>84</v>
      </c>
      <c r="B72" s="11">
        <v>5.0</v>
      </c>
      <c r="C72" s="12" t="s">
        <v>89</v>
      </c>
      <c r="D72" s="11" t="s">
        <v>21</v>
      </c>
      <c r="E72" s="13">
        <v>46245.0</v>
      </c>
      <c r="F72" s="13">
        <v>46248.0</v>
      </c>
      <c r="G72" s="11">
        <f t="shared" si="5"/>
        <v>4</v>
      </c>
      <c r="H72" s="11" t="s">
        <v>22</v>
      </c>
      <c r="I72" s="10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</row>
    <row r="73" ht="15.0" customHeight="1">
      <c r="A73" s="10" t="s">
        <v>84</v>
      </c>
      <c r="B73" s="11">
        <v>6.0</v>
      </c>
      <c r="C73" s="12" t="s">
        <v>90</v>
      </c>
      <c r="D73" s="11" t="s">
        <v>24</v>
      </c>
      <c r="E73" s="13">
        <v>46248.0</v>
      </c>
      <c r="F73" s="13">
        <v>46248.0</v>
      </c>
      <c r="G73" s="11">
        <f t="shared" si="5"/>
        <v>1</v>
      </c>
      <c r="H73" s="11" t="s">
        <v>22</v>
      </c>
      <c r="I73" s="10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</row>
    <row r="74" ht="15.0" customHeight="1">
      <c r="A74" s="10" t="s">
        <v>84</v>
      </c>
      <c r="B74" s="11">
        <v>7.0</v>
      </c>
      <c r="C74" s="12" t="s">
        <v>91</v>
      </c>
      <c r="D74" s="11" t="s">
        <v>21</v>
      </c>
      <c r="E74" s="13">
        <v>46248.0</v>
      </c>
      <c r="F74" s="13">
        <v>46248.0</v>
      </c>
      <c r="G74" s="11">
        <f t="shared" si="5"/>
        <v>1</v>
      </c>
      <c r="H74" s="11" t="s">
        <v>22</v>
      </c>
      <c r="I74" s="10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</row>
    <row r="75" ht="15.0" customHeight="1">
      <c r="A75" s="10" t="s">
        <v>84</v>
      </c>
      <c r="B75" s="11">
        <v>8.0</v>
      </c>
      <c r="C75" s="12" t="s">
        <v>92</v>
      </c>
      <c r="D75" s="11" t="s">
        <v>21</v>
      </c>
      <c r="E75" s="13">
        <v>46248.0</v>
      </c>
      <c r="F75" s="13">
        <v>46249.0</v>
      </c>
      <c r="G75" s="11">
        <f t="shared" si="5"/>
        <v>2</v>
      </c>
      <c r="H75" s="11" t="s">
        <v>22</v>
      </c>
      <c r="I75" s="10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</row>
    <row r="76" ht="15.0" customHeight="1">
      <c r="A76" s="10" t="s">
        <v>84</v>
      </c>
      <c r="B76" s="11">
        <v>9.0</v>
      </c>
      <c r="C76" s="12" t="s">
        <v>93</v>
      </c>
      <c r="D76" s="11" t="s">
        <v>21</v>
      </c>
      <c r="E76" s="13">
        <v>46249.0</v>
      </c>
      <c r="F76" s="13">
        <v>46262.0</v>
      </c>
      <c r="G76" s="11">
        <f t="shared" si="5"/>
        <v>14</v>
      </c>
      <c r="H76" s="11" t="s">
        <v>22</v>
      </c>
      <c r="I76" s="10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</row>
    <row r="77" ht="15.0" customHeight="1">
      <c r="A77" s="10" t="s">
        <v>84</v>
      </c>
      <c r="B77" s="11">
        <v>10.0</v>
      </c>
      <c r="C77" s="12" t="s">
        <v>94</v>
      </c>
      <c r="D77" s="11" t="s">
        <v>21</v>
      </c>
      <c r="E77" s="13">
        <v>46262.0</v>
      </c>
      <c r="F77" s="13">
        <v>46295.0</v>
      </c>
      <c r="G77" s="11">
        <f t="shared" si="5"/>
        <v>34</v>
      </c>
      <c r="H77" s="11" t="s">
        <v>22</v>
      </c>
      <c r="I77" s="10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</row>
    <row r="78" ht="15.0" customHeight="1">
      <c r="A78" s="10" t="s">
        <v>84</v>
      </c>
      <c r="B78" s="11">
        <v>11.0</v>
      </c>
      <c r="C78" s="12" t="s">
        <v>95</v>
      </c>
      <c r="D78" s="11" t="s">
        <v>21</v>
      </c>
      <c r="E78" s="13">
        <v>46295.0</v>
      </c>
      <c r="F78" s="13">
        <v>46310.0</v>
      </c>
      <c r="G78" s="11">
        <f t="shared" si="5"/>
        <v>16</v>
      </c>
      <c r="H78" s="11" t="s">
        <v>22</v>
      </c>
      <c r="I78" s="10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</row>
    <row r="79" ht="15.0" customHeight="1">
      <c r="A79" s="9" t="s">
        <v>96</v>
      </c>
      <c r="B79" s="9"/>
      <c r="C79" s="9"/>
      <c r="D79" s="9"/>
      <c r="E79" s="9"/>
      <c r="F79" s="9"/>
      <c r="G79" s="9"/>
      <c r="H79" s="9"/>
      <c r="I79" s="9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</row>
    <row r="80" ht="15.0" customHeight="1">
      <c r="A80" s="10" t="s">
        <v>96</v>
      </c>
      <c r="B80" s="11">
        <v>1.0</v>
      </c>
      <c r="C80" s="12" t="s">
        <v>97</v>
      </c>
      <c r="D80" s="11" t="s">
        <v>21</v>
      </c>
      <c r="E80" s="13">
        <v>46238.0</v>
      </c>
      <c r="F80" s="13">
        <v>46260.0</v>
      </c>
      <c r="G80" s="11">
        <f t="shared" ref="G80:G83" si="6">IF(OR($E80="",$F80=""),"",$F80-$E80+1)</f>
        <v>23</v>
      </c>
      <c r="H80" s="11" t="s">
        <v>22</v>
      </c>
      <c r="I80" s="10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</row>
    <row r="81" ht="15.0" customHeight="1">
      <c r="A81" s="10" t="s">
        <v>96</v>
      </c>
      <c r="B81" s="11">
        <v>2.0</v>
      </c>
      <c r="C81" s="12" t="s">
        <v>98</v>
      </c>
      <c r="D81" s="11" t="s">
        <v>24</v>
      </c>
      <c r="E81" s="13">
        <v>46260.0</v>
      </c>
      <c r="F81" s="13">
        <v>46261.0</v>
      </c>
      <c r="G81" s="11">
        <f t="shared" si="6"/>
        <v>2</v>
      </c>
      <c r="H81" s="11" t="s">
        <v>22</v>
      </c>
      <c r="I81" s="10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</row>
    <row r="82" ht="15.0" customHeight="1">
      <c r="A82" s="10" t="s">
        <v>96</v>
      </c>
      <c r="B82" s="11">
        <v>3.0</v>
      </c>
      <c r="C82" s="12" t="s">
        <v>99</v>
      </c>
      <c r="D82" s="11" t="s">
        <v>21</v>
      </c>
      <c r="E82" s="13">
        <v>46261.0</v>
      </c>
      <c r="F82" s="13">
        <v>46262.0</v>
      </c>
      <c r="G82" s="11">
        <f t="shared" si="6"/>
        <v>2</v>
      </c>
      <c r="H82" s="11" t="s">
        <v>22</v>
      </c>
      <c r="I82" s="10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</row>
    <row r="83" ht="15.0" customHeight="1">
      <c r="A83" s="10" t="s">
        <v>96</v>
      </c>
      <c r="B83" s="11">
        <v>4.0</v>
      </c>
      <c r="C83" s="12" t="s">
        <v>100</v>
      </c>
      <c r="D83" s="11" t="s">
        <v>21</v>
      </c>
      <c r="E83" s="13">
        <v>46262.0</v>
      </c>
      <c r="F83" s="13">
        <v>46262.0</v>
      </c>
      <c r="G83" s="11">
        <f t="shared" si="6"/>
        <v>1</v>
      </c>
      <c r="H83" s="11" t="s">
        <v>22</v>
      </c>
      <c r="I83" s="10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</row>
    <row r="84" ht="15.0" customHeight="1">
      <c r="A84" s="9" t="s">
        <v>101</v>
      </c>
      <c r="B84" s="9"/>
      <c r="C84" s="9"/>
      <c r="D84" s="9"/>
      <c r="E84" s="9"/>
      <c r="F84" s="9"/>
      <c r="G84" s="9"/>
      <c r="H84" s="9"/>
      <c r="I84" s="9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</row>
    <row r="85" ht="15.0" customHeight="1">
      <c r="A85" s="10" t="s">
        <v>101</v>
      </c>
      <c r="B85" s="11">
        <v>1.0</v>
      </c>
      <c r="C85" s="12" t="s">
        <v>102</v>
      </c>
      <c r="D85" s="11" t="s">
        <v>27</v>
      </c>
      <c r="E85" s="13">
        <v>46238.0</v>
      </c>
      <c r="F85" s="13">
        <v>46248.0</v>
      </c>
      <c r="G85" s="11">
        <f t="shared" ref="G85:G88" si="7">IF(OR($E85="",$F85=""),"",$F85-$E85+1)</f>
        <v>11</v>
      </c>
      <c r="H85" s="11" t="s">
        <v>22</v>
      </c>
      <c r="I85" s="10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</row>
    <row r="86" ht="15.0" customHeight="1">
      <c r="A86" s="10" t="s">
        <v>101</v>
      </c>
      <c r="B86" s="11">
        <v>2.0</v>
      </c>
      <c r="C86" s="12" t="s">
        <v>103</v>
      </c>
      <c r="D86" s="11" t="s">
        <v>24</v>
      </c>
      <c r="E86" s="13">
        <v>46248.0</v>
      </c>
      <c r="F86" s="13">
        <v>46255.0</v>
      </c>
      <c r="G86" s="11">
        <f t="shared" si="7"/>
        <v>8</v>
      </c>
      <c r="H86" s="11" t="s">
        <v>22</v>
      </c>
      <c r="I86" s="10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</row>
    <row r="87" ht="15.0" customHeight="1">
      <c r="A87" s="10" t="s">
        <v>101</v>
      </c>
      <c r="B87" s="11">
        <v>3.0</v>
      </c>
      <c r="C87" s="12" t="s">
        <v>104</v>
      </c>
      <c r="D87" s="11" t="s">
        <v>27</v>
      </c>
      <c r="E87" s="13">
        <v>46255.0</v>
      </c>
      <c r="F87" s="13">
        <v>46260.0</v>
      </c>
      <c r="G87" s="11">
        <f t="shared" si="7"/>
        <v>6</v>
      </c>
      <c r="H87" s="11" t="s">
        <v>22</v>
      </c>
      <c r="I87" s="10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</row>
    <row r="88" ht="15.0" customHeight="1">
      <c r="A88" s="10" t="s">
        <v>101</v>
      </c>
      <c r="B88" s="11">
        <v>4.0</v>
      </c>
      <c r="C88" s="12" t="s">
        <v>105</v>
      </c>
      <c r="D88" s="11" t="s">
        <v>27</v>
      </c>
      <c r="E88" s="13">
        <v>46260.0</v>
      </c>
      <c r="F88" s="13">
        <v>46262.0</v>
      </c>
      <c r="G88" s="11">
        <f t="shared" si="7"/>
        <v>3</v>
      </c>
      <c r="H88" s="11" t="s">
        <v>22</v>
      </c>
      <c r="I88" s="10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</row>
  </sheetData>
  <conditionalFormatting sqref="C6:C88">
    <cfRule type="expression" dxfId="0" priority="1">
      <formula>$H6="Complete"</formula>
    </cfRule>
  </conditionalFormatting>
  <conditionalFormatting sqref="C6:C88">
    <cfRule type="expression" dxfId="1" priority="2">
      <formula>$H6="Blocked"</formula>
    </cfRule>
  </conditionalFormatting>
  <conditionalFormatting sqref="J3:CD5">
    <cfRule type="expression" dxfId="2" priority="3">
      <formula>J$4=TODAY()</formula>
    </cfRule>
  </conditionalFormatting>
  <conditionalFormatting sqref="J6:CD88">
    <cfRule type="expression" dxfId="3" priority="4">
      <formula>AND($D6="Pattern",$E6&lt;&gt;"",J$4&gt;=$E6,J$4&lt;=$F6)</formula>
    </cfRule>
  </conditionalFormatting>
  <conditionalFormatting sqref="J6:CD88">
    <cfRule type="expression" dxfId="4" priority="5">
      <formula>AND($D6="Brand",$E6&lt;&gt;"",J$4&gt;=$E6,J$4&lt;=$F6)</formula>
    </cfRule>
  </conditionalFormatting>
  <conditionalFormatting sqref="J6:CD88">
    <cfRule type="expression" dxfId="5" priority="6">
      <formula>AND($D6="Pattern/Brand",$E6&lt;&gt;"",J$4&gt;=$E6,J$4&lt;=$F6)</formula>
    </cfRule>
  </conditionalFormatting>
  <conditionalFormatting sqref="J6:CD88">
    <cfRule type="expression" dxfId="6" priority="7">
      <formula>AND($E6&lt;&gt;"",WEEKDAY(J$4,2)&gt;5)</formula>
    </cfRule>
  </conditionalFormatting>
  <dataValidations>
    <dataValidation type="list" allowBlank="1" sqref="H6:H88">
      <formula1>"Not Started,In Progress,Complete,Blocked,At Risk"</formula1>
    </dataValidation>
  </dataValidations>
  <printOptions/>
  <pageMargins bottom="1.0" footer="0.0" header="0.0" left="0.75" right="0.75" top="1.0"/>
  <pageSetup fitToHeight="0" paperSize="8" orientation="landscape"/>
  <drawing r:id="rId1"/>
</worksheet>
</file>