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in" sheetId="1" r:id="rId5"/>
  </sheets>
  <definedNames/>
  <calcPr/>
</workbook>
</file>

<file path=xl/sharedStrings.xml><?xml version="1.0" encoding="utf-8"?>
<sst xmlns="http://schemas.openxmlformats.org/spreadsheetml/2006/main" count="340" uniqueCount="91">
  <si>
    <t>Pattern x Brand — TikTok Shop 3P Onboarding (New TTS Shop Create)</t>
  </si>
  <si>
    <t>Bar colour = owner:  Pattern (orange)  ·  Brand (green)  ·  Pattern/Brand joint (blue).   Edit the Start and Due columns to move a bar; the chart redraws automatically.   Scenario: TikTok Shop 3P — New Shop, Pattern creates the TTS shop (Internal Onboarding SOP section 1, updated 07/31/2026). Dates assume a placeholder Day 0 of 09/08/2026.</t>
  </si>
  <si>
    <t>Sep</t>
  </si>
  <si>
    <t>Oct</t>
  </si>
  <si>
    <t>Nov</t>
  </si>
  <si>
    <t>Category</t>
  </si>
  <si>
    <t>Action #</t>
  </si>
  <si>
    <t>Task</t>
  </si>
  <si>
    <t>Owner</t>
  </si>
  <si>
    <t>Start</t>
  </si>
  <si>
    <t>Due</t>
  </si>
  <si>
    <t>Days</t>
  </si>
  <si>
    <t>Status</t>
  </si>
  <si>
    <t>Notes</t>
  </si>
  <si>
    <t>T</t>
  </si>
  <si>
    <t>W</t>
  </si>
  <si>
    <t>F</t>
  </si>
  <si>
    <t>S</t>
  </si>
  <si>
    <t>M</t>
  </si>
  <si>
    <t>Shop Creation</t>
  </si>
  <si>
    <t>Onboarding package generated and sent to brand</t>
  </si>
  <si>
    <t>Pattern</t>
  </si>
  <si>
    <t>Not Started</t>
  </si>
  <si>
    <t>Wholesale price for brand SKUs provided to SCM</t>
  </si>
  <si>
    <t>Brand</t>
  </si>
  <si>
    <t>Brand returns completed onboarding package + supporting documents</t>
  </si>
  <si>
    <t>Sales submits Asana onboarding form; OPM assigned by Operations</t>
  </si>
  <si>
    <t>SCM assigned to the brand (Adam)</t>
  </si>
  <si>
    <t>OPM confirms TikTok team routing (which TT team owns the brand)</t>
  </si>
  <si>
    <t>OPM requests onboarding link from the confirmed TikTok team</t>
  </si>
  <si>
    <t>Brand email created and whitelisted by TTS</t>
  </si>
  <si>
    <t>Shop created; warehouse, tax and finance info completed</t>
  </si>
  <si>
    <t>Shop deactivation issues resolved with TikTok Support (Feiyan), if any</t>
  </si>
  <si>
    <t>Shop code + proof sent to Catherine Hu for SKM verification</t>
  </si>
  <si>
    <t>Category Qualification (CQ) + Brand Authorization (BA) applications submitted</t>
  </si>
  <si>
    <t>Brand supplies corrected authorization docs if CQ/BA rejected</t>
  </si>
  <si>
    <t>CQ + BA approved (escalate to TikTok Support if still unresolved)</t>
  </si>
  <si>
    <t>Pattern/Brand</t>
  </si>
  <si>
    <t>Final audit requested from Ops Team Lead (Sanskar Sant)</t>
  </si>
  <si>
    <t>Brand marked Live/Active; onboarding task marked complete</t>
  </si>
  <si>
    <t>TikTok handle connected</t>
  </si>
  <si>
    <t>Customer Support + Account Health emails added to shop; teams notified</t>
  </si>
  <si>
    <t>Brand binding completed with AM (Catherine Hu)</t>
  </si>
  <si>
    <t>SCM files Ops task; Euka and IPPC accounts created</t>
  </si>
  <si>
    <t>Operations</t>
  </si>
  <si>
    <t>Brand shares full product / SKU details (PIS) for listing</t>
  </si>
  <si>
    <t>Brand created in Shelf; Master Products and Shelf listings created</t>
  </si>
  <si>
    <t>Connect integration set up for brand shop with placeholder</t>
  </si>
  <si>
    <t>Marketplace Seller record updated on Shelf; Connect integration completed</t>
  </si>
  <si>
    <t>TTS marketplace listings created</t>
  </si>
  <si>
    <t>Shelf listings updated with marketplace listing so both stay in sync</t>
  </si>
  <si>
    <t>Inventory sync started once inventory arrives; sync issues resolved with Fulfillment</t>
  </si>
  <si>
    <t>Confirm order details are flowing to required teams &amp; POCs</t>
  </si>
  <si>
    <t>Inventory</t>
  </si>
  <si>
    <t>Create demand plan for launch SKUs and bundles</t>
  </si>
  <si>
    <t>SCM confirms wholesale price and gets Finance sign-off (Asana form)</t>
  </si>
  <si>
    <t>SCM places initial PO with John (Asana form)</t>
  </si>
  <si>
    <t>Brand ships inventory to Pattern warehouse</t>
  </si>
  <si>
    <t>Inventory received at Pattern</t>
  </si>
  <si>
    <t>Cut PO for all products for FBT</t>
  </si>
  <si>
    <t>Inventory received at FBT</t>
  </si>
  <si>
    <t>Merchandising</t>
  </si>
  <si>
    <t>Align on launch hero SKUs</t>
  </si>
  <si>
    <t>Align on bundles</t>
  </si>
  <si>
    <t>Gather image / copy assets for hero SKUs and bundles</t>
  </si>
  <si>
    <t>Build and optimize listings for hero SKUs and bundles</t>
  </si>
  <si>
    <t>Optimize listing combinations</t>
  </si>
  <si>
    <t>Confirm free shipping</t>
  </si>
  <si>
    <t>Confirm discount floors for all SKUs and bundles</t>
  </si>
  <si>
    <t>Align on discount calendar</t>
  </si>
  <si>
    <t>Affiliate</t>
  </si>
  <si>
    <t>Share existing creator briefs and affiliate program info, if any (top affiliates, offers, community channel, brand involvement)</t>
  </si>
  <si>
    <t>Product education session - Pattern team learns what makes the products unique</t>
  </si>
  <si>
    <t>Find 20 new L3+ creators for launch (target 40 total videos)</t>
  </si>
  <si>
    <t>Create briefs for hero SKUs</t>
  </si>
  <si>
    <t>Finalize outreach messaging (Euka, email &lt;L3, email &gt;L3, Pattern retainer L4+)</t>
  </si>
  <si>
    <t>Creator samples sent (20 new L3+)</t>
  </si>
  <si>
    <t>Engage top 10-30 creators for retainers where applicable</t>
  </si>
  <si>
    <t>Launch outreach</t>
  </si>
  <si>
    <t>Creator retainers solidified</t>
  </si>
  <si>
    <t>20 new L3+ creator videos live</t>
  </si>
  <si>
    <t>Advertising</t>
  </si>
  <si>
    <t>Set up TikTok Ads / GMV Max account and link to new shop</t>
  </si>
  <si>
    <t>Approve ad budget and advertising partnership</t>
  </si>
  <si>
    <t>Confirm advertising operations</t>
  </si>
  <si>
    <t>Launch ads</t>
  </si>
  <si>
    <t>Brand Handles</t>
  </si>
  <si>
    <t>Confirm marketing account structure (must include LIVE and AIGC)</t>
  </si>
  <si>
    <t>Launch additional marketing accounts needed</t>
  </si>
  <si>
    <t>Link marketing accounts to shop</t>
  </si>
  <si>
    <t>Align on plan for LIVE and AIGC content for marketing accounts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</si>
</sst>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"/>
    <numFmt numFmtId="165" formatCode="mm/dd/yy"/>
  </numFmts>
  <fonts count="10">
    <font>
      <sz val="11.0"/>
      <color theme="1"/>
      <name val="Calibri"/>
      <scheme val="minor"/>
    </font>
    <font>
      <b/>
      <sz val="14.0"/>
      <color rgb="FF1F3864"/>
      <name val="Calibri"/>
      <scheme val="minor"/>
    </font>
    <font>
      <sz val="9.0"/>
      <color rgb="FF767676"/>
      <name val="Calibri"/>
      <scheme val="minor"/>
    </font>
    <font>
      <b/>
      <sz val="9.0"/>
      <color rgb="FF1F3864"/>
      <name val="Calibri"/>
      <scheme val="minor"/>
    </font>
    <font>
      <color theme="1"/>
      <name val="Calibri"/>
      <scheme val="minor"/>
    </font>
    <font>
      <sz val="8.0"/>
      <color rgb="FF222222"/>
      <name val="Calibri"/>
      <scheme val="minor"/>
    </font>
    <font>
      <b/>
      <sz val="10.0"/>
      <color rgb="FFFFFFFF"/>
      <name val="Calibri"/>
      <scheme val="minor"/>
    </font>
    <font>
      <b/>
      <sz val="8.0"/>
      <color rgb="FFFFFFFF"/>
      <name val="Calibri"/>
      <scheme val="minor"/>
    </font>
    <font>
      <b/>
      <sz val="10.0"/>
      <color rgb="FF1F3864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3F0"/>
        <bgColor rgb="FFDCE3F0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1" fillId="2" fontId="6" numFmtId="0" xfId="0" applyBorder="1" applyFill="1" applyFont="1"/>
    <xf borderId="1" fillId="2" fontId="7" numFmtId="0" xfId="0" applyAlignment="1" applyBorder="1" applyFill="1" applyFont="1">
      <alignment horizontal="center"/>
    </xf>
    <xf borderId="2" fillId="3" fontId="8" numFmtId="0" xfId="0" applyBorder="1" applyFill="1" applyFont="1"/>
    <xf borderId="2" fillId="3" fontId="9" numFmtId="0" xfId="0" applyBorder="1" applyFill="1" applyFont="1"/>
    <xf borderId="2" fillId="0" fontId="9" numFmtId="0" xfId="0" applyBorder="1" applyFont="1"/>
    <xf borderId="2" fillId="0" fontId="9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center"/>
    </xf>
    <xf borderId="2" fillId="0" fontId="9" numFmtId="165" xfId="0" applyBorder="1" applyFont="1" applyNumberFormat="1"/>
  </cellXfs>
  <cellStyles count="1">
    <cellStyle xfId="0" name="Normal" builtinId="0"/>
  </cellStyles>
  <dxfs count="7">
    <dxf>
      <font>
        <color rgb="FF6A9955"/>
      </font>
      <fill>
        <patternFill patternType="solid">
          <fgColor rgb="FFE2EFDA"/>
          <bgColor rgb="FFE2EFDA"/>
        </patternFill>
      </fill>
      <border/>
    </dxf>
    <dxf>
      <font>
        <color rgb="FFC00000"/>
      </font>
      <fill>
        <patternFill patternType="solid">
          <fgColor rgb="FFFCE4E4"/>
          <bgColor rgb="FFFCE4E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2A85C"/>
          <bgColor rgb="FFF2A85C"/>
        </patternFill>
      </fill>
      <border/>
    </dxf>
    <dxf>
      <font/>
      <fill>
        <patternFill patternType="solid">
          <fgColor rgb="FF3F7F5F"/>
          <bgColor rgb="FF3F7F5F"/>
        </patternFill>
      </fill>
      <border/>
    </dxf>
    <dxf>
      <font/>
      <fill>
        <patternFill patternType="solid">
          <fgColor rgb="FF5B7FBF"/>
          <bgColor rgb="FF5B7FBF"/>
        </patternFill>
      </fill>
      <border/>
    </dxf>
    <dxf>
      <font/>
      <fill>
        <patternFill patternType="solid">
          <fgColor rgb="FFF1F1F1"/>
          <bgColor rgb="FFF1F1F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0"/>
    <col customWidth="1" min="2" max="2" width="8.0"/>
    <col customWidth="1" min="3" max="3" width="62.0"/>
    <col customWidth="1" min="4" max="4" width="13.0"/>
    <col customWidth="1" min="5" max="6" width="10.0"/>
    <col customWidth="1" min="7" max="7" width="7.0"/>
    <col customWidth="1" min="8" max="8" width="13.0"/>
    <col customWidth="1" min="9" max="9" width="44.0"/>
    <col customWidth="1" min="10" max="84" width="2.71"/>
  </cols>
  <sheetData>
    <row r="1" ht="17.25" customHeight="1">
      <c r="A1" s="1" t="s">
        <v>0</v>
      </c>
    </row>
    <row r="2">
      <c r="A2" s="2" t="s">
        <v>1</v>
      </c>
    </row>
    <row r="3">
      <c r="J3" s="3" t="s">
        <v>2</v>
      </c>
      <c r="K3" s="4"/>
      <c r="AG3" s="3" t="s">
        <v>3</v>
      </c>
      <c r="BL3" s="3" t="s">
        <v>4</v>
      </c>
    </row>
    <row r="4">
      <c r="J4" s="5">
        <v>46273.0</v>
      </c>
      <c r="K4" s="5">
        <v>46274.0</v>
      </c>
      <c r="L4" s="5">
        <v>46275.0</v>
      </c>
      <c r="M4" s="5">
        <v>46276.0</v>
      </c>
      <c r="N4" s="5">
        <v>46277.0</v>
      </c>
      <c r="O4" s="5">
        <v>46278.0</v>
      </c>
      <c r="P4" s="5">
        <v>46279.0</v>
      </c>
      <c r="Q4" s="5">
        <v>46280.0</v>
      </c>
      <c r="R4" s="5">
        <v>46281.0</v>
      </c>
      <c r="S4" s="5">
        <v>46282.0</v>
      </c>
      <c r="T4" s="5">
        <v>46283.0</v>
      </c>
      <c r="U4" s="5">
        <v>46284.0</v>
      </c>
      <c r="V4" s="5">
        <v>46285.0</v>
      </c>
      <c r="W4" s="5">
        <v>46286.0</v>
      </c>
      <c r="X4" s="5">
        <v>46287.0</v>
      </c>
      <c r="Y4" s="5">
        <v>46288.0</v>
      </c>
      <c r="Z4" s="5">
        <v>46289.0</v>
      </c>
      <c r="AA4" s="5">
        <v>46290.0</v>
      </c>
      <c r="AB4" s="5">
        <v>46291.0</v>
      </c>
      <c r="AC4" s="5">
        <v>46292.0</v>
      </c>
      <c r="AD4" s="5">
        <v>46293.0</v>
      </c>
      <c r="AE4" s="5">
        <v>46294.0</v>
      </c>
      <c r="AF4" s="5">
        <v>46295.0</v>
      </c>
      <c r="AG4" s="5">
        <v>46296.0</v>
      </c>
      <c r="AH4" s="5">
        <v>46297.0</v>
      </c>
      <c r="AI4" s="5">
        <v>46298.0</v>
      </c>
      <c r="AJ4" s="5">
        <v>46299.0</v>
      </c>
      <c r="AK4" s="5">
        <v>46300.0</v>
      </c>
      <c r="AL4" s="5">
        <v>46301.0</v>
      </c>
      <c r="AM4" s="5">
        <v>46302.0</v>
      </c>
      <c r="AN4" s="5">
        <v>46303.0</v>
      </c>
      <c r="AO4" s="5">
        <v>46304.0</v>
      </c>
      <c r="AP4" s="5">
        <v>46305.0</v>
      </c>
      <c r="AQ4" s="5">
        <v>46306.0</v>
      </c>
      <c r="AR4" s="5">
        <v>46307.0</v>
      </c>
      <c r="AS4" s="5">
        <v>46308.0</v>
      </c>
      <c r="AT4" s="5">
        <v>46309.0</v>
      </c>
      <c r="AU4" s="5">
        <v>46310.0</v>
      </c>
      <c r="AV4" s="5">
        <v>46311.0</v>
      </c>
      <c r="AW4" s="5">
        <v>46312.0</v>
      </c>
      <c r="AX4" s="5">
        <v>46313.0</v>
      </c>
      <c r="AY4" s="5">
        <v>46314.0</v>
      </c>
      <c r="AZ4" s="5">
        <v>46315.0</v>
      </c>
      <c r="BA4" s="5">
        <v>46316.0</v>
      </c>
      <c r="BB4" s="5">
        <v>46317.0</v>
      </c>
      <c r="BC4" s="5">
        <v>46318.0</v>
      </c>
      <c r="BD4" s="5">
        <v>46319.0</v>
      </c>
      <c r="BE4" s="5">
        <v>46320.0</v>
      </c>
      <c r="BF4" s="5">
        <v>46321.0</v>
      </c>
      <c r="BG4" s="5">
        <v>46322.0</v>
      </c>
      <c r="BH4" s="5">
        <v>46323.0</v>
      </c>
      <c r="BI4" s="5">
        <v>46324.0</v>
      </c>
      <c r="BJ4" s="5">
        <v>46325.0</v>
      </c>
      <c r="BK4" s="5">
        <v>46326.0</v>
      </c>
      <c r="BL4" s="5">
        <v>46327.0</v>
      </c>
      <c r="BM4" s="5">
        <v>46328.0</v>
      </c>
      <c r="BN4" s="5">
        <v>46329.0</v>
      </c>
      <c r="BO4" s="5">
        <v>46330.0</v>
      </c>
      <c r="BP4" s="5">
        <v>46331.0</v>
      </c>
      <c r="BQ4" s="5">
        <v>46332.0</v>
      </c>
      <c r="BR4" s="5">
        <v>46333.0</v>
      </c>
      <c r="BS4" s="5">
        <v>46334.0</v>
      </c>
      <c r="BT4" s="5">
        <v>46335.0</v>
      </c>
      <c r="BU4" s="5">
        <v>46336.0</v>
      </c>
      <c r="BV4" s="5">
        <v>46337.0</v>
      </c>
      <c r="BW4" s="5">
        <v>46338.0</v>
      </c>
      <c r="BX4" s="5">
        <v>46339.0</v>
      </c>
      <c r="BY4" s="5">
        <v>46340.0</v>
      </c>
      <c r="BZ4" s="5">
        <v>46341.0</v>
      </c>
      <c r="CA4" s="5">
        <v>46342.0</v>
      </c>
      <c r="CB4" s="5">
        <v>46343.0</v>
      </c>
      <c r="CC4" s="5">
        <v>46344.0</v>
      </c>
      <c r="CD4" s="5">
        <v>46345.0</v>
      </c>
      <c r="CE4" s="5">
        <v>46346.0</v>
      </c>
      <c r="CF4" s="5">
        <v>46347.0</v>
      </c>
    </row>
    <row r="5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7" t="s">
        <v>14</v>
      </c>
      <c r="K5" s="7" t="s">
        <v>15</v>
      </c>
      <c r="L5" s="7" t="s">
        <v>14</v>
      </c>
      <c r="M5" s="7" t="s">
        <v>16</v>
      </c>
      <c r="N5" s="7" t="s">
        <v>17</v>
      </c>
      <c r="O5" s="7" t="s">
        <v>17</v>
      </c>
      <c r="P5" s="7" t="s">
        <v>18</v>
      </c>
      <c r="Q5" s="7" t="s">
        <v>14</v>
      </c>
      <c r="R5" s="7" t="s">
        <v>15</v>
      </c>
      <c r="S5" s="7" t="s">
        <v>14</v>
      </c>
      <c r="T5" s="7" t="s">
        <v>16</v>
      </c>
      <c r="U5" s="7" t="s">
        <v>17</v>
      </c>
      <c r="V5" s="7" t="s">
        <v>17</v>
      </c>
      <c r="W5" s="7" t="s">
        <v>18</v>
      </c>
      <c r="X5" s="7" t="s">
        <v>14</v>
      </c>
      <c r="Y5" s="7" t="s">
        <v>15</v>
      </c>
      <c r="Z5" s="7" t="s">
        <v>14</v>
      </c>
      <c r="AA5" s="7" t="s">
        <v>16</v>
      </c>
      <c r="AB5" s="7" t="s">
        <v>17</v>
      </c>
      <c r="AC5" s="7" t="s">
        <v>17</v>
      </c>
      <c r="AD5" s="7" t="s">
        <v>18</v>
      </c>
      <c r="AE5" s="7" t="s">
        <v>14</v>
      </c>
      <c r="AF5" s="7" t="s">
        <v>15</v>
      </c>
      <c r="AG5" s="7" t="s">
        <v>14</v>
      </c>
      <c r="AH5" s="7" t="s">
        <v>16</v>
      </c>
      <c r="AI5" s="7" t="s">
        <v>17</v>
      </c>
      <c r="AJ5" s="7" t="s">
        <v>17</v>
      </c>
      <c r="AK5" s="7" t="s">
        <v>18</v>
      </c>
      <c r="AL5" s="7" t="s">
        <v>14</v>
      </c>
      <c r="AM5" s="7" t="s">
        <v>15</v>
      </c>
      <c r="AN5" s="7" t="s">
        <v>14</v>
      </c>
      <c r="AO5" s="7" t="s">
        <v>16</v>
      </c>
      <c r="AP5" s="7" t="s">
        <v>17</v>
      </c>
      <c r="AQ5" s="7" t="s">
        <v>17</v>
      </c>
      <c r="AR5" s="7" t="s">
        <v>18</v>
      </c>
      <c r="AS5" s="7" t="s">
        <v>14</v>
      </c>
      <c r="AT5" s="7" t="s">
        <v>15</v>
      </c>
      <c r="AU5" s="7" t="s">
        <v>14</v>
      </c>
      <c r="AV5" s="7" t="s">
        <v>16</v>
      </c>
      <c r="AW5" s="7" t="s">
        <v>17</v>
      </c>
      <c r="AX5" s="7" t="s">
        <v>17</v>
      </c>
      <c r="AY5" s="7" t="s">
        <v>18</v>
      </c>
      <c r="AZ5" s="7" t="s">
        <v>14</v>
      </c>
      <c r="BA5" s="7" t="s">
        <v>15</v>
      </c>
      <c r="BB5" s="7" t="s">
        <v>14</v>
      </c>
      <c r="BC5" s="7" t="s">
        <v>16</v>
      </c>
      <c r="BD5" s="7" t="s">
        <v>17</v>
      </c>
      <c r="BE5" s="7" t="s">
        <v>17</v>
      </c>
      <c r="BF5" s="7" t="s">
        <v>18</v>
      </c>
      <c r="BG5" s="7" t="s">
        <v>14</v>
      </c>
      <c r="BH5" s="7" t="s">
        <v>15</v>
      </c>
      <c r="BI5" s="7" t="s">
        <v>14</v>
      </c>
      <c r="BJ5" s="7" t="s">
        <v>16</v>
      </c>
      <c r="BK5" s="7" t="s">
        <v>17</v>
      </c>
      <c r="BL5" s="7" t="s">
        <v>17</v>
      </c>
      <c r="BM5" s="7" t="s">
        <v>18</v>
      </c>
      <c r="BN5" s="7" t="s">
        <v>14</v>
      </c>
      <c r="BO5" s="7" t="s">
        <v>15</v>
      </c>
      <c r="BP5" s="7" t="s">
        <v>14</v>
      </c>
      <c r="BQ5" s="7" t="s">
        <v>16</v>
      </c>
      <c r="BR5" s="7" t="s">
        <v>17</v>
      </c>
      <c r="BS5" s="7" t="s">
        <v>17</v>
      </c>
      <c r="BT5" s="7" t="s">
        <v>18</v>
      </c>
      <c r="BU5" s="7" t="s">
        <v>14</v>
      </c>
      <c r="BV5" s="7" t="s">
        <v>15</v>
      </c>
      <c r="BW5" s="7" t="s">
        <v>14</v>
      </c>
      <c r="BX5" s="7" t="s">
        <v>16</v>
      </c>
      <c r="BY5" s="7" t="s">
        <v>17</v>
      </c>
      <c r="BZ5" s="7" t="s">
        <v>17</v>
      </c>
      <c r="CA5" s="7" t="s">
        <v>18</v>
      </c>
      <c r="CB5" s="7" t="s">
        <v>14</v>
      </c>
      <c r="CC5" s="7" t="s">
        <v>15</v>
      </c>
      <c r="CD5" s="7" t="s">
        <v>14</v>
      </c>
      <c r="CE5" s="7" t="s">
        <v>16</v>
      </c>
      <c r="CF5" s="7" t="s">
        <v>17</v>
      </c>
    </row>
    <row r="6">
      <c r="A6" s="8" t="s">
        <v>19</v>
      </c>
      <c r="B6" s="9"/>
      <c r="C6" s="9"/>
      <c r="D6" s="9"/>
      <c r="E6" s="9"/>
      <c r="F6" s="9"/>
      <c r="G6" s="9"/>
      <c r="H6" s="9"/>
      <c r="I6" s="9"/>
    </row>
    <row r="7">
      <c r="A7" s="10" t="s">
        <v>19</v>
      </c>
      <c r="B7" s="10">
        <v>1.0</v>
      </c>
      <c r="C7" s="11" t="s">
        <v>20</v>
      </c>
      <c r="D7" s="12" t="s">
        <v>21</v>
      </c>
      <c r="E7" s="13">
        <v>46273.0</v>
      </c>
      <c r="F7" s="13">
        <v>46274.0</v>
      </c>
      <c r="G7" s="12">
        <f t="shared" ref="G7:G26" si="1">IF(OR($E7="",$F7=""),"",$F7-$E7+1)</f>
        <v>2</v>
      </c>
      <c r="H7" s="12" t="s">
        <v>22</v>
      </c>
      <c r="I7" s="11"/>
      <c r="J7" s="4"/>
      <c r="K7" s="4"/>
      <c r="N7" s="4"/>
      <c r="O7" s="4"/>
      <c r="U7" s="4"/>
      <c r="V7" s="4"/>
      <c r="AB7" s="4"/>
      <c r="AC7" s="4"/>
      <c r="AI7" s="4"/>
      <c r="AJ7" s="4"/>
      <c r="AP7" s="4"/>
      <c r="AQ7" s="4"/>
      <c r="AW7" s="4"/>
      <c r="AX7" s="4"/>
      <c r="BD7" s="4"/>
      <c r="BE7" s="4"/>
      <c r="BK7" s="4"/>
      <c r="BL7" s="4"/>
      <c r="BR7" s="4"/>
      <c r="BS7" s="4"/>
      <c r="BY7" s="4"/>
      <c r="BZ7" s="4"/>
      <c r="CF7" s="4"/>
    </row>
    <row r="8">
      <c r="A8" s="10" t="s">
        <v>19</v>
      </c>
      <c r="B8" s="10">
        <v>2.0</v>
      </c>
      <c r="C8" s="11" t="s">
        <v>23</v>
      </c>
      <c r="D8" s="12" t="s">
        <v>24</v>
      </c>
      <c r="E8" s="13">
        <v>46274.0</v>
      </c>
      <c r="F8" s="13">
        <v>46275.0</v>
      </c>
      <c r="G8" s="12">
        <f t="shared" si="1"/>
        <v>2</v>
      </c>
      <c r="H8" s="12" t="s">
        <v>22</v>
      </c>
      <c r="I8" s="11"/>
      <c r="K8" s="4"/>
      <c r="L8" s="4"/>
      <c r="N8" s="4"/>
      <c r="O8" s="4"/>
      <c r="U8" s="4"/>
      <c r="V8" s="4"/>
      <c r="AB8" s="4"/>
      <c r="AC8" s="4"/>
      <c r="AI8" s="4"/>
      <c r="AJ8" s="4"/>
      <c r="AP8" s="4"/>
      <c r="AQ8" s="4"/>
      <c r="AW8" s="4"/>
      <c r="AX8" s="4"/>
      <c r="BD8" s="4"/>
      <c r="BE8" s="4"/>
      <c r="BK8" s="4"/>
      <c r="BL8" s="4"/>
      <c r="BR8" s="4"/>
      <c r="BS8" s="4"/>
      <c r="BY8" s="4"/>
      <c r="BZ8" s="4"/>
      <c r="CF8" s="4"/>
    </row>
    <row r="9">
      <c r="A9" s="10" t="s">
        <v>19</v>
      </c>
      <c r="B9" s="10">
        <v>3.0</v>
      </c>
      <c r="C9" s="11" t="s">
        <v>25</v>
      </c>
      <c r="D9" s="12" t="s">
        <v>24</v>
      </c>
      <c r="E9" s="13">
        <v>46275.0</v>
      </c>
      <c r="F9" s="13">
        <v>46276.0</v>
      </c>
      <c r="G9" s="12">
        <f t="shared" si="1"/>
        <v>2</v>
      </c>
      <c r="H9" s="12" t="s">
        <v>22</v>
      </c>
      <c r="I9" s="11"/>
      <c r="L9" s="4"/>
      <c r="M9" s="4"/>
      <c r="N9" s="4"/>
      <c r="O9" s="4"/>
      <c r="U9" s="4"/>
      <c r="V9" s="4"/>
      <c r="AB9" s="4"/>
      <c r="AC9" s="4"/>
      <c r="AI9" s="4"/>
      <c r="AJ9" s="4"/>
      <c r="AP9" s="4"/>
      <c r="AQ9" s="4"/>
      <c r="AW9" s="4"/>
      <c r="AX9" s="4"/>
      <c r="BD9" s="4"/>
      <c r="BE9" s="4"/>
      <c r="BK9" s="4"/>
      <c r="BL9" s="4"/>
      <c r="BR9" s="4"/>
      <c r="BS9" s="4"/>
      <c r="BY9" s="4"/>
      <c r="BZ9" s="4"/>
      <c r="CF9" s="4"/>
    </row>
    <row r="10">
      <c r="A10" s="10" t="s">
        <v>19</v>
      </c>
      <c r="B10" s="10">
        <v>4.0</v>
      </c>
      <c r="C10" s="11" t="s">
        <v>26</v>
      </c>
      <c r="D10" s="12" t="s">
        <v>21</v>
      </c>
      <c r="E10" s="13">
        <v>46276.0</v>
      </c>
      <c r="F10" s="13">
        <v>46276.0</v>
      </c>
      <c r="G10" s="12">
        <f t="shared" si="1"/>
        <v>1</v>
      </c>
      <c r="H10" s="12" t="s">
        <v>22</v>
      </c>
      <c r="I10" s="11"/>
      <c r="M10" s="4"/>
      <c r="N10" s="4"/>
      <c r="O10" s="4"/>
      <c r="U10" s="4"/>
      <c r="V10" s="4"/>
      <c r="AB10" s="4"/>
      <c r="AC10" s="4"/>
      <c r="AI10" s="4"/>
      <c r="AJ10" s="4"/>
      <c r="AP10" s="4"/>
      <c r="AQ10" s="4"/>
      <c r="AW10" s="4"/>
      <c r="AX10" s="4"/>
      <c r="BD10" s="4"/>
      <c r="BE10" s="4"/>
      <c r="BK10" s="4"/>
      <c r="BL10" s="4"/>
      <c r="BR10" s="4"/>
      <c r="BS10" s="4"/>
      <c r="BY10" s="4"/>
      <c r="BZ10" s="4"/>
      <c r="CF10" s="4"/>
    </row>
    <row r="11">
      <c r="A11" s="10" t="s">
        <v>19</v>
      </c>
      <c r="B11" s="10">
        <v>5.0</v>
      </c>
      <c r="C11" s="11" t="s">
        <v>27</v>
      </c>
      <c r="D11" s="12" t="s">
        <v>21</v>
      </c>
      <c r="E11" s="13">
        <v>46277.0</v>
      </c>
      <c r="F11" s="13">
        <v>46277.0</v>
      </c>
      <c r="G11" s="12">
        <f t="shared" si="1"/>
        <v>1</v>
      </c>
      <c r="H11" s="12" t="s">
        <v>22</v>
      </c>
      <c r="I11" s="11"/>
      <c r="N11" s="4"/>
      <c r="O11" s="4"/>
      <c r="U11" s="4"/>
      <c r="V11" s="4"/>
      <c r="AB11" s="4"/>
      <c r="AC11" s="4"/>
      <c r="AI11" s="4"/>
      <c r="AJ11" s="4"/>
      <c r="AP11" s="4"/>
      <c r="AQ11" s="4"/>
      <c r="AW11" s="4"/>
      <c r="AX11" s="4"/>
      <c r="BD11" s="4"/>
      <c r="BE11" s="4"/>
      <c r="BK11" s="4"/>
      <c r="BL11" s="4"/>
      <c r="BR11" s="4"/>
      <c r="BS11" s="4"/>
      <c r="BY11" s="4"/>
      <c r="BZ11" s="4"/>
      <c r="CF11" s="4"/>
    </row>
    <row r="12">
      <c r="A12" s="10" t="s">
        <v>19</v>
      </c>
      <c r="B12" s="10">
        <v>6.0</v>
      </c>
      <c r="C12" s="11" t="s">
        <v>28</v>
      </c>
      <c r="D12" s="12" t="s">
        <v>21</v>
      </c>
      <c r="E12" s="13">
        <v>46277.0</v>
      </c>
      <c r="F12" s="13">
        <v>46277.0</v>
      </c>
      <c r="G12" s="12">
        <f t="shared" si="1"/>
        <v>1</v>
      </c>
      <c r="H12" s="12" t="s">
        <v>22</v>
      </c>
      <c r="I12" s="11"/>
      <c r="N12" s="4"/>
      <c r="O12" s="4"/>
      <c r="U12" s="4"/>
      <c r="V12" s="4"/>
      <c r="AB12" s="4"/>
      <c r="AC12" s="4"/>
      <c r="AI12" s="4"/>
      <c r="AJ12" s="4"/>
      <c r="AP12" s="4"/>
      <c r="AQ12" s="4"/>
      <c r="AW12" s="4"/>
      <c r="AX12" s="4"/>
      <c r="BD12" s="4"/>
      <c r="BE12" s="4"/>
      <c r="BK12" s="4"/>
      <c r="BL12" s="4"/>
      <c r="BR12" s="4"/>
      <c r="BS12" s="4"/>
      <c r="BY12" s="4"/>
      <c r="BZ12" s="4"/>
      <c r="CF12" s="4"/>
    </row>
    <row r="13">
      <c r="A13" s="10" t="s">
        <v>19</v>
      </c>
      <c r="B13" s="10">
        <v>7.0</v>
      </c>
      <c r="C13" s="11" t="s">
        <v>29</v>
      </c>
      <c r="D13" s="12" t="s">
        <v>21</v>
      </c>
      <c r="E13" s="13">
        <v>46277.0</v>
      </c>
      <c r="F13" s="13">
        <v>46279.0</v>
      </c>
      <c r="G13" s="12">
        <f t="shared" si="1"/>
        <v>3</v>
      </c>
      <c r="H13" s="12" t="s">
        <v>22</v>
      </c>
      <c r="I13" s="11"/>
      <c r="N13" s="4"/>
      <c r="O13" s="4"/>
      <c r="P13" s="4"/>
      <c r="U13" s="4"/>
      <c r="V13" s="4"/>
      <c r="AB13" s="4"/>
      <c r="AC13" s="4"/>
      <c r="AI13" s="4"/>
      <c r="AJ13" s="4"/>
      <c r="AP13" s="4"/>
      <c r="AQ13" s="4"/>
      <c r="AW13" s="4"/>
      <c r="AX13" s="4"/>
      <c r="BD13" s="4"/>
      <c r="BE13" s="4"/>
      <c r="BK13" s="4"/>
      <c r="BL13" s="4"/>
      <c r="BR13" s="4"/>
      <c r="BS13" s="4"/>
      <c r="BY13" s="4"/>
      <c r="BZ13" s="4"/>
      <c r="CF13" s="4"/>
    </row>
    <row r="14">
      <c r="A14" s="10" t="s">
        <v>19</v>
      </c>
      <c r="B14" s="10">
        <v>8.0</v>
      </c>
      <c r="C14" s="11" t="s">
        <v>30</v>
      </c>
      <c r="D14" s="12" t="s">
        <v>21</v>
      </c>
      <c r="E14" s="13">
        <v>46280.0</v>
      </c>
      <c r="F14" s="13">
        <v>46281.0</v>
      </c>
      <c r="G14" s="12">
        <f t="shared" si="1"/>
        <v>2</v>
      </c>
      <c r="H14" s="12" t="s">
        <v>22</v>
      </c>
      <c r="I14" s="11"/>
      <c r="N14" s="4"/>
      <c r="O14" s="4"/>
      <c r="Q14" s="4"/>
      <c r="R14" s="4"/>
      <c r="U14" s="4"/>
      <c r="V14" s="4"/>
      <c r="AB14" s="4"/>
      <c r="AC14" s="4"/>
      <c r="AI14" s="4"/>
      <c r="AJ14" s="4"/>
      <c r="AP14" s="4"/>
      <c r="AQ14" s="4"/>
      <c r="AW14" s="4"/>
      <c r="AX14" s="4"/>
      <c r="BD14" s="4"/>
      <c r="BE14" s="4"/>
      <c r="BK14" s="4"/>
      <c r="BL14" s="4"/>
      <c r="BR14" s="4"/>
      <c r="BS14" s="4"/>
      <c r="BY14" s="4"/>
      <c r="BZ14" s="4"/>
      <c r="CF14" s="4"/>
    </row>
    <row r="15">
      <c r="A15" s="10" t="s">
        <v>19</v>
      </c>
      <c r="B15" s="10">
        <v>9.0</v>
      </c>
      <c r="C15" s="11" t="s">
        <v>31</v>
      </c>
      <c r="D15" s="12" t="s">
        <v>21</v>
      </c>
      <c r="E15" s="13">
        <v>46281.0</v>
      </c>
      <c r="F15" s="13">
        <v>46284.0</v>
      </c>
      <c r="G15" s="12">
        <f t="shared" si="1"/>
        <v>4</v>
      </c>
      <c r="H15" s="12" t="s">
        <v>22</v>
      </c>
      <c r="I15" s="11"/>
      <c r="N15" s="4"/>
      <c r="O15" s="4"/>
      <c r="R15" s="4"/>
      <c r="S15" s="4"/>
      <c r="T15" s="4"/>
      <c r="U15" s="4"/>
      <c r="V15" s="4"/>
      <c r="AB15" s="4"/>
      <c r="AC15" s="4"/>
      <c r="AI15" s="4"/>
      <c r="AJ15" s="4"/>
      <c r="AP15" s="4"/>
      <c r="AQ15" s="4"/>
      <c r="AW15" s="4"/>
      <c r="AX15" s="4"/>
      <c r="BD15" s="4"/>
      <c r="BE15" s="4"/>
      <c r="BK15" s="4"/>
      <c r="BL15" s="4"/>
      <c r="BR15" s="4"/>
      <c r="BS15" s="4"/>
      <c r="BY15" s="4"/>
      <c r="BZ15" s="4"/>
      <c r="CF15" s="4"/>
    </row>
    <row r="16">
      <c r="A16" s="10" t="s">
        <v>19</v>
      </c>
      <c r="B16" s="10">
        <v>10.0</v>
      </c>
      <c r="C16" s="11" t="s">
        <v>32</v>
      </c>
      <c r="D16" s="12" t="s">
        <v>21</v>
      </c>
      <c r="E16" s="13">
        <v>46284.0</v>
      </c>
      <c r="F16" s="13">
        <v>46286.0</v>
      </c>
      <c r="G16" s="12">
        <f t="shared" si="1"/>
        <v>3</v>
      </c>
      <c r="H16" s="12" t="s">
        <v>22</v>
      </c>
      <c r="I16" s="11"/>
      <c r="N16" s="4"/>
      <c r="O16" s="4"/>
      <c r="U16" s="4"/>
      <c r="V16" s="4"/>
      <c r="W16" s="4"/>
      <c r="AB16" s="4"/>
      <c r="AC16" s="4"/>
      <c r="AI16" s="4"/>
      <c r="AJ16" s="4"/>
      <c r="AP16" s="4"/>
      <c r="AQ16" s="4"/>
      <c r="AW16" s="4"/>
      <c r="AX16" s="4"/>
      <c r="BD16" s="4"/>
      <c r="BE16" s="4"/>
      <c r="BK16" s="4"/>
      <c r="BL16" s="4"/>
      <c r="BR16" s="4"/>
      <c r="BS16" s="4"/>
      <c r="BY16" s="4"/>
      <c r="BZ16" s="4"/>
      <c r="CF16" s="4"/>
    </row>
    <row r="17">
      <c r="A17" s="10" t="s">
        <v>19</v>
      </c>
      <c r="B17" s="10">
        <v>11.0</v>
      </c>
      <c r="C17" s="11" t="s">
        <v>33</v>
      </c>
      <c r="D17" s="12" t="s">
        <v>21</v>
      </c>
      <c r="E17" s="13">
        <v>46286.0</v>
      </c>
      <c r="F17" s="13">
        <v>46286.0</v>
      </c>
      <c r="G17" s="12">
        <f t="shared" si="1"/>
        <v>1</v>
      </c>
      <c r="H17" s="12" t="s">
        <v>22</v>
      </c>
      <c r="I17" s="11"/>
      <c r="N17" s="4"/>
      <c r="O17" s="4"/>
      <c r="U17" s="4"/>
      <c r="V17" s="4"/>
      <c r="W17" s="4"/>
      <c r="AB17" s="4"/>
      <c r="AC17" s="4"/>
      <c r="AI17" s="4"/>
      <c r="AJ17" s="4"/>
      <c r="AP17" s="4"/>
      <c r="AQ17" s="4"/>
      <c r="AW17" s="4"/>
      <c r="AX17" s="4"/>
      <c r="BD17" s="4"/>
      <c r="BE17" s="4"/>
      <c r="BK17" s="4"/>
      <c r="BL17" s="4"/>
      <c r="BR17" s="4"/>
      <c r="BS17" s="4"/>
      <c r="BY17" s="4"/>
      <c r="BZ17" s="4"/>
      <c r="CF17" s="4"/>
    </row>
    <row r="18">
      <c r="A18" s="10" t="s">
        <v>19</v>
      </c>
      <c r="B18" s="10">
        <v>12.0</v>
      </c>
      <c r="C18" s="11" t="s">
        <v>34</v>
      </c>
      <c r="D18" s="12" t="s">
        <v>21</v>
      </c>
      <c r="E18" s="13">
        <v>46286.0</v>
      </c>
      <c r="F18" s="13">
        <v>46288.0</v>
      </c>
      <c r="G18" s="12">
        <f t="shared" si="1"/>
        <v>3</v>
      </c>
      <c r="H18" s="12" t="s">
        <v>22</v>
      </c>
      <c r="I18" s="11"/>
      <c r="N18" s="4"/>
      <c r="O18" s="4"/>
      <c r="U18" s="4"/>
      <c r="V18" s="4"/>
      <c r="W18" s="4"/>
      <c r="X18" s="4"/>
      <c r="Y18" s="4"/>
      <c r="AB18" s="4"/>
      <c r="AC18" s="4"/>
      <c r="AI18" s="4"/>
      <c r="AJ18" s="4"/>
      <c r="AP18" s="4"/>
      <c r="AQ18" s="4"/>
      <c r="AW18" s="4"/>
      <c r="AX18" s="4"/>
      <c r="BD18" s="4"/>
      <c r="BE18" s="4"/>
      <c r="BK18" s="4"/>
      <c r="BL18" s="4"/>
      <c r="BR18" s="4"/>
      <c r="BS18" s="4"/>
      <c r="BY18" s="4"/>
      <c r="BZ18" s="4"/>
      <c r="CF18" s="4"/>
    </row>
    <row r="19">
      <c r="A19" s="10" t="s">
        <v>19</v>
      </c>
      <c r="B19" s="10">
        <v>13.0</v>
      </c>
      <c r="C19" s="11" t="s">
        <v>35</v>
      </c>
      <c r="D19" s="12" t="s">
        <v>24</v>
      </c>
      <c r="E19" s="13">
        <v>46288.0</v>
      </c>
      <c r="F19" s="13">
        <v>46290.0</v>
      </c>
      <c r="G19" s="12">
        <f t="shared" si="1"/>
        <v>3</v>
      </c>
      <c r="H19" s="12" t="s">
        <v>22</v>
      </c>
      <c r="I19" s="11"/>
      <c r="N19" s="4"/>
      <c r="O19" s="4"/>
      <c r="U19" s="4"/>
      <c r="V19" s="4"/>
      <c r="Y19" s="4"/>
      <c r="Z19" s="4"/>
      <c r="AA19" s="4"/>
      <c r="AB19" s="4"/>
      <c r="AC19" s="4"/>
      <c r="AI19" s="4"/>
      <c r="AJ19" s="4"/>
      <c r="AP19" s="4"/>
      <c r="AQ19" s="4"/>
      <c r="AW19" s="4"/>
      <c r="AX19" s="4"/>
      <c r="BD19" s="4"/>
      <c r="BE19" s="4"/>
      <c r="BK19" s="4"/>
      <c r="BL19" s="4"/>
      <c r="BR19" s="4"/>
      <c r="BS19" s="4"/>
      <c r="BY19" s="4"/>
      <c r="BZ19" s="4"/>
      <c r="CF19" s="4"/>
    </row>
    <row r="20">
      <c r="A20" s="10" t="s">
        <v>19</v>
      </c>
      <c r="B20" s="10">
        <v>14.0</v>
      </c>
      <c r="C20" s="11" t="s">
        <v>36</v>
      </c>
      <c r="D20" s="12" t="s">
        <v>37</v>
      </c>
      <c r="E20" s="13">
        <v>46290.0</v>
      </c>
      <c r="F20" s="13">
        <v>46293.0</v>
      </c>
      <c r="G20" s="12">
        <f t="shared" si="1"/>
        <v>4</v>
      </c>
      <c r="H20" s="12" t="s">
        <v>22</v>
      </c>
      <c r="I20" s="11"/>
      <c r="N20" s="4"/>
      <c r="O20" s="4"/>
      <c r="U20" s="4"/>
      <c r="V20" s="4"/>
      <c r="AA20" s="4"/>
      <c r="AB20" s="4"/>
      <c r="AC20" s="4"/>
      <c r="AD20" s="4"/>
      <c r="AI20" s="4"/>
      <c r="AJ20" s="4"/>
      <c r="AP20" s="4"/>
      <c r="AQ20" s="4"/>
      <c r="AW20" s="4"/>
      <c r="AX20" s="4"/>
      <c r="BD20" s="4"/>
      <c r="BE20" s="4"/>
      <c r="BK20" s="4"/>
      <c r="BL20" s="4"/>
      <c r="BR20" s="4"/>
      <c r="BS20" s="4"/>
      <c r="BY20" s="4"/>
      <c r="BZ20" s="4"/>
      <c r="CF20" s="4"/>
    </row>
    <row r="21" ht="15.75" customHeight="1">
      <c r="A21" s="10" t="s">
        <v>19</v>
      </c>
      <c r="B21" s="10">
        <v>15.0</v>
      </c>
      <c r="C21" s="11" t="s">
        <v>38</v>
      </c>
      <c r="D21" s="12" t="s">
        <v>21</v>
      </c>
      <c r="E21" s="13">
        <v>46303.0</v>
      </c>
      <c r="F21" s="13">
        <v>46304.0</v>
      </c>
      <c r="G21" s="12">
        <f t="shared" si="1"/>
        <v>2</v>
      </c>
      <c r="H21" s="12" t="s">
        <v>22</v>
      </c>
      <c r="I21" s="11"/>
      <c r="N21" s="4"/>
      <c r="O21" s="4"/>
      <c r="U21" s="4"/>
      <c r="V21" s="4"/>
      <c r="AB21" s="4"/>
      <c r="AC21" s="4"/>
      <c r="AI21" s="4"/>
      <c r="AJ21" s="4"/>
      <c r="AN21" s="4"/>
      <c r="AO21" s="4"/>
      <c r="AP21" s="4"/>
      <c r="AQ21" s="4"/>
      <c r="AW21" s="4"/>
      <c r="AX21" s="4"/>
      <c r="BD21" s="4"/>
      <c r="BE21" s="4"/>
      <c r="BK21" s="4"/>
      <c r="BL21" s="4"/>
      <c r="BR21" s="4"/>
      <c r="BS21" s="4"/>
      <c r="BY21" s="4"/>
      <c r="BZ21" s="4"/>
      <c r="CF21" s="4"/>
    </row>
    <row r="22" ht="15.75" customHeight="1">
      <c r="A22" s="10" t="s">
        <v>19</v>
      </c>
      <c r="B22" s="10">
        <v>16.0</v>
      </c>
      <c r="C22" s="11" t="s">
        <v>39</v>
      </c>
      <c r="D22" s="12" t="s">
        <v>21</v>
      </c>
      <c r="E22" s="13">
        <v>46304.0</v>
      </c>
      <c r="F22" s="13">
        <v>46304.0</v>
      </c>
      <c r="G22" s="12">
        <f t="shared" si="1"/>
        <v>1</v>
      </c>
      <c r="H22" s="12" t="s">
        <v>22</v>
      </c>
      <c r="I22" s="11"/>
      <c r="N22" s="4"/>
      <c r="O22" s="4"/>
      <c r="U22" s="4"/>
      <c r="V22" s="4"/>
      <c r="AB22" s="4"/>
      <c r="AC22" s="4"/>
      <c r="AI22" s="4"/>
      <c r="AJ22" s="4"/>
      <c r="AO22" s="4"/>
      <c r="AP22" s="4"/>
      <c r="AQ22" s="4"/>
      <c r="AW22" s="4"/>
      <c r="AX22" s="4"/>
      <c r="BD22" s="4"/>
      <c r="BE22" s="4"/>
      <c r="BK22" s="4"/>
      <c r="BL22" s="4"/>
      <c r="BR22" s="4"/>
      <c r="BS22" s="4"/>
      <c r="BY22" s="4"/>
      <c r="BZ22" s="4"/>
      <c r="CF22" s="4"/>
    </row>
    <row r="23" ht="15.75" customHeight="1">
      <c r="A23" s="10" t="s">
        <v>19</v>
      </c>
      <c r="B23" s="10">
        <v>17.0</v>
      </c>
      <c r="C23" s="11" t="s">
        <v>40</v>
      </c>
      <c r="D23" s="12" t="s">
        <v>21</v>
      </c>
      <c r="E23" s="13">
        <v>46304.0</v>
      </c>
      <c r="F23" s="13">
        <v>46305.0</v>
      </c>
      <c r="G23" s="12">
        <f t="shared" si="1"/>
        <v>2</v>
      </c>
      <c r="H23" s="12" t="s">
        <v>22</v>
      </c>
      <c r="I23" s="11"/>
      <c r="N23" s="4"/>
      <c r="O23" s="4"/>
      <c r="U23" s="4"/>
      <c r="V23" s="4"/>
      <c r="AB23" s="4"/>
      <c r="AC23" s="4"/>
      <c r="AI23" s="4"/>
      <c r="AJ23" s="4"/>
      <c r="AO23" s="4"/>
      <c r="AP23" s="4"/>
      <c r="AQ23" s="4"/>
      <c r="AW23" s="4"/>
      <c r="AX23" s="4"/>
      <c r="BD23" s="4"/>
      <c r="BE23" s="4"/>
      <c r="BK23" s="4"/>
      <c r="BL23" s="4"/>
      <c r="BR23" s="4"/>
      <c r="BS23" s="4"/>
      <c r="BY23" s="4"/>
      <c r="BZ23" s="4"/>
      <c r="CF23" s="4"/>
    </row>
    <row r="24" ht="15.75" customHeight="1">
      <c r="A24" s="10" t="s">
        <v>19</v>
      </c>
      <c r="B24" s="10">
        <v>18.0</v>
      </c>
      <c r="C24" s="11" t="s">
        <v>41</v>
      </c>
      <c r="D24" s="12" t="s">
        <v>21</v>
      </c>
      <c r="E24" s="13">
        <v>46304.0</v>
      </c>
      <c r="F24" s="13">
        <v>46305.0</v>
      </c>
      <c r="G24" s="12">
        <f t="shared" si="1"/>
        <v>2</v>
      </c>
      <c r="H24" s="12" t="s">
        <v>22</v>
      </c>
      <c r="I24" s="11"/>
      <c r="N24" s="4"/>
      <c r="O24" s="4"/>
      <c r="U24" s="4"/>
      <c r="V24" s="4"/>
      <c r="AB24" s="4"/>
      <c r="AC24" s="4"/>
      <c r="AI24" s="4"/>
      <c r="AJ24" s="4"/>
      <c r="AO24" s="4"/>
      <c r="AP24" s="4"/>
      <c r="AQ24" s="4"/>
      <c r="AW24" s="4"/>
      <c r="AX24" s="4"/>
      <c r="BD24" s="4"/>
      <c r="BE24" s="4"/>
      <c r="BK24" s="4"/>
      <c r="BL24" s="4"/>
      <c r="BR24" s="4"/>
      <c r="BS24" s="4"/>
      <c r="BY24" s="4"/>
      <c r="BZ24" s="4"/>
      <c r="CF24" s="4"/>
    </row>
    <row r="25" ht="15.75" customHeight="1">
      <c r="A25" s="10" t="s">
        <v>19</v>
      </c>
      <c r="B25" s="10">
        <v>19.0</v>
      </c>
      <c r="C25" s="11" t="s">
        <v>42</v>
      </c>
      <c r="D25" s="12" t="s">
        <v>21</v>
      </c>
      <c r="E25" s="13">
        <v>46305.0</v>
      </c>
      <c r="F25" s="13">
        <v>46307.0</v>
      </c>
      <c r="G25" s="12">
        <f t="shared" si="1"/>
        <v>3</v>
      </c>
      <c r="H25" s="12" t="s">
        <v>22</v>
      </c>
      <c r="I25" s="11"/>
      <c r="N25" s="4"/>
      <c r="O25" s="4"/>
      <c r="U25" s="4"/>
      <c r="V25" s="4"/>
      <c r="AB25" s="4"/>
      <c r="AC25" s="4"/>
      <c r="AI25" s="4"/>
      <c r="AJ25" s="4"/>
      <c r="AP25" s="4"/>
      <c r="AQ25" s="4"/>
      <c r="AR25" s="4"/>
      <c r="AW25" s="4"/>
      <c r="AX25" s="4"/>
      <c r="BD25" s="4"/>
      <c r="BE25" s="4"/>
      <c r="BK25" s="4"/>
      <c r="BL25" s="4"/>
      <c r="BR25" s="4"/>
      <c r="BS25" s="4"/>
      <c r="BY25" s="4"/>
      <c r="BZ25" s="4"/>
      <c r="CF25" s="4"/>
    </row>
    <row r="26" ht="15.75" customHeight="1">
      <c r="A26" s="10" t="s">
        <v>19</v>
      </c>
      <c r="B26" s="10">
        <v>20.0</v>
      </c>
      <c r="C26" s="11" t="s">
        <v>43</v>
      </c>
      <c r="D26" s="12" t="s">
        <v>21</v>
      </c>
      <c r="E26" s="13">
        <v>46307.0</v>
      </c>
      <c r="F26" s="13">
        <v>46308.0</v>
      </c>
      <c r="G26" s="12">
        <f t="shared" si="1"/>
        <v>2</v>
      </c>
      <c r="H26" s="12" t="s">
        <v>22</v>
      </c>
      <c r="I26" s="11"/>
      <c r="N26" s="4"/>
      <c r="O26" s="4"/>
      <c r="U26" s="4"/>
      <c r="V26" s="4"/>
      <c r="AB26" s="4"/>
      <c r="AC26" s="4"/>
      <c r="AI26" s="4"/>
      <c r="AJ26" s="4"/>
      <c r="AP26" s="4"/>
      <c r="AQ26" s="4"/>
      <c r="AR26" s="4"/>
      <c r="AS26" s="4"/>
      <c r="AW26" s="4"/>
      <c r="AX26" s="4"/>
      <c r="BD26" s="4"/>
      <c r="BE26" s="4"/>
      <c r="BK26" s="4"/>
      <c r="BL26" s="4"/>
      <c r="BR26" s="4"/>
      <c r="BS26" s="4"/>
      <c r="BY26" s="4"/>
      <c r="BZ26" s="4"/>
      <c r="CF26" s="4"/>
    </row>
    <row r="27" ht="15.75" customHeight="1">
      <c r="A27" s="8" t="s">
        <v>44</v>
      </c>
      <c r="B27" s="9"/>
      <c r="C27" s="9"/>
      <c r="D27" s="9"/>
      <c r="E27" s="9"/>
      <c r="F27" s="9"/>
      <c r="G27" s="9"/>
      <c r="H27" s="9"/>
      <c r="I27" s="9"/>
    </row>
    <row r="28" ht="15.75" customHeight="1">
      <c r="A28" s="10" t="s">
        <v>44</v>
      </c>
      <c r="B28" s="10">
        <v>1.0</v>
      </c>
      <c r="C28" s="11" t="s">
        <v>45</v>
      </c>
      <c r="D28" s="12" t="s">
        <v>24</v>
      </c>
      <c r="E28" s="13">
        <v>46275.0</v>
      </c>
      <c r="F28" s="13">
        <v>46276.0</v>
      </c>
      <c r="G28" s="12">
        <f t="shared" ref="G28:G35" si="2">IF(OR($E28="",$F28=""),"",$F28-$E28+1)</f>
        <v>2</v>
      </c>
      <c r="H28" s="12" t="s">
        <v>22</v>
      </c>
      <c r="I28" s="11"/>
      <c r="L28" s="4"/>
      <c r="M28" s="4"/>
      <c r="N28" s="4"/>
      <c r="O28" s="4"/>
      <c r="U28" s="4"/>
      <c r="V28" s="4"/>
      <c r="AB28" s="4"/>
      <c r="AC28" s="4"/>
      <c r="AI28" s="4"/>
      <c r="AJ28" s="4"/>
      <c r="AP28" s="4"/>
      <c r="AQ28" s="4"/>
      <c r="AW28" s="4"/>
      <c r="AX28" s="4"/>
      <c r="BD28" s="4"/>
      <c r="BE28" s="4"/>
      <c r="BK28" s="4"/>
      <c r="BL28" s="4"/>
      <c r="BR28" s="4"/>
      <c r="BS28" s="4"/>
      <c r="BY28" s="4"/>
      <c r="BZ28" s="4"/>
      <c r="CF28" s="4"/>
    </row>
    <row r="29" ht="15.75" customHeight="1">
      <c r="A29" s="10" t="s">
        <v>44</v>
      </c>
      <c r="B29" s="10">
        <v>2.0</v>
      </c>
      <c r="C29" s="11" t="s">
        <v>46</v>
      </c>
      <c r="D29" s="12" t="s">
        <v>21</v>
      </c>
      <c r="E29" s="13">
        <v>46276.0</v>
      </c>
      <c r="F29" s="13">
        <v>46280.0</v>
      </c>
      <c r="G29" s="12">
        <f t="shared" si="2"/>
        <v>5</v>
      </c>
      <c r="H29" s="12" t="s">
        <v>22</v>
      </c>
      <c r="I29" s="11"/>
      <c r="M29" s="4"/>
      <c r="N29" s="4"/>
      <c r="O29" s="4"/>
      <c r="P29" s="4"/>
      <c r="Q29" s="4"/>
      <c r="U29" s="4"/>
      <c r="V29" s="4"/>
      <c r="AB29" s="4"/>
      <c r="AC29" s="4"/>
      <c r="AI29" s="4"/>
      <c r="AJ29" s="4"/>
      <c r="AP29" s="4"/>
      <c r="AQ29" s="4"/>
      <c r="AW29" s="4"/>
      <c r="AX29" s="4"/>
      <c r="BD29" s="4"/>
      <c r="BE29" s="4"/>
      <c r="BK29" s="4"/>
      <c r="BL29" s="4"/>
      <c r="BR29" s="4"/>
      <c r="BS29" s="4"/>
      <c r="BY29" s="4"/>
      <c r="BZ29" s="4"/>
      <c r="CF29" s="4"/>
    </row>
    <row r="30" ht="15.75" customHeight="1">
      <c r="A30" s="10" t="s">
        <v>44</v>
      </c>
      <c r="B30" s="10">
        <v>3.0</v>
      </c>
      <c r="C30" s="11" t="s">
        <v>47</v>
      </c>
      <c r="D30" s="12" t="s">
        <v>21</v>
      </c>
      <c r="E30" s="13">
        <v>46280.0</v>
      </c>
      <c r="F30" s="13">
        <v>46280.0</v>
      </c>
      <c r="G30" s="12">
        <f t="shared" si="2"/>
        <v>1</v>
      </c>
      <c r="H30" s="12" t="s">
        <v>22</v>
      </c>
      <c r="I30" s="11"/>
      <c r="N30" s="4"/>
      <c r="O30" s="4"/>
      <c r="Q30" s="4"/>
      <c r="U30" s="4"/>
      <c r="V30" s="4"/>
      <c r="AB30" s="4"/>
      <c r="AC30" s="4"/>
      <c r="AI30" s="4"/>
      <c r="AJ30" s="4"/>
      <c r="AP30" s="4"/>
      <c r="AQ30" s="4"/>
      <c r="AW30" s="4"/>
      <c r="AX30" s="4"/>
      <c r="BD30" s="4"/>
      <c r="BE30" s="4"/>
      <c r="BK30" s="4"/>
      <c r="BL30" s="4"/>
      <c r="BR30" s="4"/>
      <c r="BS30" s="4"/>
      <c r="BY30" s="4"/>
      <c r="BZ30" s="4"/>
      <c r="CF30" s="4"/>
    </row>
    <row r="31" ht="15.75" customHeight="1">
      <c r="A31" s="10" t="s">
        <v>44</v>
      </c>
      <c r="B31" s="10">
        <v>4.0</v>
      </c>
      <c r="C31" s="11" t="s">
        <v>48</v>
      </c>
      <c r="D31" s="12" t="s">
        <v>21</v>
      </c>
      <c r="E31" s="13">
        <v>46284.0</v>
      </c>
      <c r="F31" s="13">
        <v>46286.0</v>
      </c>
      <c r="G31" s="12">
        <f t="shared" si="2"/>
        <v>3</v>
      </c>
      <c r="H31" s="12" t="s">
        <v>22</v>
      </c>
      <c r="I31" s="11"/>
      <c r="N31" s="4"/>
      <c r="O31" s="4"/>
      <c r="U31" s="4"/>
      <c r="V31" s="4"/>
      <c r="W31" s="4"/>
      <c r="AB31" s="4"/>
      <c r="AC31" s="4"/>
      <c r="AI31" s="4"/>
      <c r="AJ31" s="4"/>
      <c r="AP31" s="4"/>
      <c r="AQ31" s="4"/>
      <c r="AW31" s="4"/>
      <c r="AX31" s="4"/>
      <c r="BD31" s="4"/>
      <c r="BE31" s="4"/>
      <c r="BK31" s="4"/>
      <c r="BL31" s="4"/>
      <c r="BR31" s="4"/>
      <c r="BS31" s="4"/>
      <c r="BY31" s="4"/>
      <c r="BZ31" s="4"/>
      <c r="CF31" s="4"/>
    </row>
    <row r="32" ht="15.75" customHeight="1">
      <c r="A32" s="10" t="s">
        <v>44</v>
      </c>
      <c r="B32" s="10">
        <v>5.0</v>
      </c>
      <c r="C32" s="11" t="s">
        <v>49</v>
      </c>
      <c r="D32" s="12" t="s">
        <v>21</v>
      </c>
      <c r="E32" s="13">
        <v>46293.0</v>
      </c>
      <c r="F32" s="13">
        <v>46296.0</v>
      </c>
      <c r="G32" s="12">
        <f t="shared" si="2"/>
        <v>4</v>
      </c>
      <c r="H32" s="12" t="s">
        <v>22</v>
      </c>
      <c r="I32" s="11"/>
      <c r="N32" s="4"/>
      <c r="O32" s="4"/>
      <c r="U32" s="4"/>
      <c r="V32" s="4"/>
      <c r="AB32" s="4"/>
      <c r="AC32" s="4"/>
      <c r="AD32" s="4"/>
      <c r="AE32" s="4"/>
      <c r="AF32" s="4"/>
      <c r="AG32" s="4"/>
      <c r="AI32" s="4"/>
      <c r="AJ32" s="4"/>
      <c r="AP32" s="4"/>
      <c r="AQ32" s="4"/>
      <c r="AW32" s="4"/>
      <c r="AX32" s="4"/>
      <c r="BD32" s="4"/>
      <c r="BE32" s="4"/>
      <c r="BK32" s="4"/>
      <c r="BL32" s="4"/>
      <c r="BR32" s="4"/>
      <c r="BS32" s="4"/>
      <c r="BY32" s="4"/>
      <c r="BZ32" s="4"/>
      <c r="CF32" s="4"/>
    </row>
    <row r="33" ht="15.75" customHeight="1">
      <c r="A33" s="10" t="s">
        <v>44</v>
      </c>
      <c r="B33" s="10">
        <v>6.0</v>
      </c>
      <c r="C33" s="11" t="s">
        <v>50</v>
      </c>
      <c r="D33" s="12" t="s">
        <v>21</v>
      </c>
      <c r="E33" s="13">
        <v>46296.0</v>
      </c>
      <c r="F33" s="13">
        <v>46297.0</v>
      </c>
      <c r="G33" s="12">
        <f t="shared" si="2"/>
        <v>2</v>
      </c>
      <c r="H33" s="12" t="s">
        <v>22</v>
      </c>
      <c r="I33" s="11"/>
      <c r="N33" s="4"/>
      <c r="O33" s="4"/>
      <c r="U33" s="4"/>
      <c r="V33" s="4"/>
      <c r="AB33" s="4"/>
      <c r="AC33" s="4"/>
      <c r="AG33" s="4"/>
      <c r="AH33" s="4"/>
      <c r="AI33" s="4"/>
      <c r="AJ33" s="4"/>
      <c r="AP33" s="4"/>
      <c r="AQ33" s="4"/>
      <c r="AW33" s="4"/>
      <c r="AX33" s="4"/>
      <c r="BD33" s="4"/>
      <c r="BE33" s="4"/>
      <c r="BK33" s="4"/>
      <c r="BL33" s="4"/>
      <c r="BR33" s="4"/>
      <c r="BS33" s="4"/>
      <c r="BY33" s="4"/>
      <c r="BZ33" s="4"/>
      <c r="CF33" s="4"/>
    </row>
    <row r="34" ht="15.75" customHeight="1">
      <c r="A34" s="10" t="s">
        <v>44</v>
      </c>
      <c r="B34" s="10">
        <v>7.0</v>
      </c>
      <c r="C34" s="11" t="s">
        <v>51</v>
      </c>
      <c r="D34" s="12" t="s">
        <v>21</v>
      </c>
      <c r="E34" s="13">
        <v>46300.0</v>
      </c>
      <c r="F34" s="13">
        <v>46303.0</v>
      </c>
      <c r="G34" s="12">
        <f t="shared" si="2"/>
        <v>4</v>
      </c>
      <c r="H34" s="12" t="s">
        <v>22</v>
      </c>
      <c r="I34" s="11"/>
      <c r="N34" s="4"/>
      <c r="O34" s="4"/>
      <c r="U34" s="4"/>
      <c r="V34" s="4"/>
      <c r="AB34" s="4"/>
      <c r="AC34" s="4"/>
      <c r="AI34" s="4"/>
      <c r="AJ34" s="4"/>
      <c r="AK34" s="4"/>
      <c r="AL34" s="4"/>
      <c r="AM34" s="4"/>
      <c r="AN34" s="4"/>
      <c r="AP34" s="4"/>
      <c r="AQ34" s="4"/>
      <c r="AW34" s="4"/>
      <c r="AX34" s="4"/>
      <c r="BD34" s="4"/>
      <c r="BE34" s="4"/>
      <c r="BK34" s="4"/>
      <c r="BL34" s="4"/>
      <c r="BR34" s="4"/>
      <c r="BS34" s="4"/>
      <c r="BY34" s="4"/>
      <c r="BZ34" s="4"/>
      <c r="CF34" s="4"/>
    </row>
    <row r="35" ht="15.75" customHeight="1">
      <c r="A35" s="10" t="s">
        <v>44</v>
      </c>
      <c r="B35" s="10">
        <v>8.0</v>
      </c>
      <c r="C35" s="11" t="s">
        <v>52</v>
      </c>
      <c r="D35" s="12" t="s">
        <v>21</v>
      </c>
      <c r="E35" s="13">
        <v>46303.0</v>
      </c>
      <c r="F35" s="13">
        <v>46304.0</v>
      </c>
      <c r="G35" s="12">
        <f t="shared" si="2"/>
        <v>2</v>
      </c>
      <c r="H35" s="12" t="s">
        <v>22</v>
      </c>
      <c r="I35" s="11"/>
      <c r="N35" s="4"/>
      <c r="O35" s="4"/>
      <c r="U35" s="4"/>
      <c r="V35" s="4"/>
      <c r="AB35" s="4"/>
      <c r="AC35" s="4"/>
      <c r="AI35" s="4"/>
      <c r="AJ35" s="4"/>
      <c r="AN35" s="4"/>
      <c r="AO35" s="4"/>
      <c r="AP35" s="4"/>
      <c r="AQ35" s="4"/>
      <c r="AW35" s="4"/>
      <c r="AX35" s="4"/>
      <c r="BD35" s="4"/>
      <c r="BE35" s="4"/>
      <c r="BK35" s="4"/>
      <c r="BL35" s="4"/>
      <c r="BR35" s="4"/>
      <c r="BS35" s="4"/>
      <c r="BY35" s="4"/>
      <c r="BZ35" s="4"/>
      <c r="CF35" s="4"/>
    </row>
    <row r="36" ht="15.75" customHeight="1">
      <c r="A36" s="8" t="s">
        <v>53</v>
      </c>
      <c r="B36" s="9"/>
      <c r="C36" s="9"/>
      <c r="D36" s="9"/>
      <c r="E36" s="9"/>
      <c r="F36" s="9"/>
      <c r="G36" s="9"/>
      <c r="H36" s="9"/>
      <c r="I36" s="9"/>
    </row>
    <row r="37" ht="15.75" customHeight="1">
      <c r="A37" s="10" t="s">
        <v>53</v>
      </c>
      <c r="B37" s="10">
        <v>1.0</v>
      </c>
      <c r="C37" s="11" t="s">
        <v>54</v>
      </c>
      <c r="D37" s="12" t="s">
        <v>21</v>
      </c>
      <c r="E37" s="13">
        <v>46276.0</v>
      </c>
      <c r="F37" s="13">
        <v>46279.0</v>
      </c>
      <c r="G37" s="12">
        <f t="shared" ref="G37:G43" si="3">IF(OR($E37="",$F37=""),"",$F37-$E37+1)</f>
        <v>4</v>
      </c>
      <c r="H37" s="12" t="s">
        <v>22</v>
      </c>
      <c r="I37" s="11"/>
      <c r="M37" s="4"/>
      <c r="N37" s="4"/>
      <c r="O37" s="4"/>
      <c r="P37" s="4"/>
      <c r="U37" s="4"/>
      <c r="V37" s="4"/>
      <c r="AB37" s="4"/>
      <c r="AC37" s="4"/>
      <c r="AI37" s="4"/>
      <c r="AJ37" s="4"/>
      <c r="AP37" s="4"/>
      <c r="AQ37" s="4"/>
      <c r="AW37" s="4"/>
      <c r="AX37" s="4"/>
      <c r="BD37" s="4"/>
      <c r="BE37" s="4"/>
      <c r="BK37" s="4"/>
      <c r="BL37" s="4"/>
      <c r="BR37" s="4"/>
      <c r="BS37" s="4"/>
      <c r="BY37" s="4"/>
      <c r="BZ37" s="4"/>
      <c r="CF37" s="4"/>
    </row>
    <row r="38" ht="15.75" customHeight="1">
      <c r="A38" s="10" t="s">
        <v>53</v>
      </c>
      <c r="B38" s="10">
        <v>2.0</v>
      </c>
      <c r="C38" s="11" t="s">
        <v>55</v>
      </c>
      <c r="D38" s="12" t="s">
        <v>21</v>
      </c>
      <c r="E38" s="13">
        <v>46280.0</v>
      </c>
      <c r="F38" s="13">
        <v>46282.0</v>
      </c>
      <c r="G38" s="12">
        <f t="shared" si="3"/>
        <v>3</v>
      </c>
      <c r="H38" s="12" t="s">
        <v>22</v>
      </c>
      <c r="I38" s="11"/>
      <c r="N38" s="4"/>
      <c r="O38" s="4"/>
      <c r="Q38" s="4"/>
      <c r="R38" s="4"/>
      <c r="S38" s="4"/>
      <c r="U38" s="4"/>
      <c r="V38" s="4"/>
      <c r="AB38" s="4"/>
      <c r="AC38" s="4"/>
      <c r="AI38" s="4"/>
      <c r="AJ38" s="4"/>
      <c r="AP38" s="4"/>
      <c r="AQ38" s="4"/>
      <c r="AW38" s="4"/>
      <c r="AX38" s="4"/>
      <c r="BD38" s="4"/>
      <c r="BE38" s="4"/>
      <c r="BK38" s="4"/>
      <c r="BL38" s="4"/>
      <c r="BR38" s="4"/>
      <c r="BS38" s="4"/>
      <c r="BY38" s="4"/>
      <c r="BZ38" s="4"/>
      <c r="CF38" s="4"/>
    </row>
    <row r="39" ht="15.75" customHeight="1">
      <c r="A39" s="10" t="s">
        <v>53</v>
      </c>
      <c r="B39" s="10">
        <v>3.0</v>
      </c>
      <c r="C39" s="11" t="s">
        <v>56</v>
      </c>
      <c r="D39" s="12" t="s">
        <v>21</v>
      </c>
      <c r="E39" s="13">
        <v>46282.0</v>
      </c>
      <c r="F39" s="13">
        <v>46283.0</v>
      </c>
      <c r="G39" s="12">
        <f t="shared" si="3"/>
        <v>2</v>
      </c>
      <c r="H39" s="12" t="s">
        <v>22</v>
      </c>
      <c r="I39" s="11"/>
      <c r="N39" s="4"/>
      <c r="O39" s="4"/>
      <c r="S39" s="4"/>
      <c r="T39" s="4"/>
      <c r="U39" s="4"/>
      <c r="V39" s="4"/>
      <c r="AB39" s="4"/>
      <c r="AC39" s="4"/>
      <c r="AI39" s="4"/>
      <c r="AJ39" s="4"/>
      <c r="AP39" s="4"/>
      <c r="AQ39" s="4"/>
      <c r="AW39" s="4"/>
      <c r="AX39" s="4"/>
      <c r="BD39" s="4"/>
      <c r="BE39" s="4"/>
      <c r="BK39" s="4"/>
      <c r="BL39" s="4"/>
      <c r="BR39" s="4"/>
      <c r="BS39" s="4"/>
      <c r="BY39" s="4"/>
      <c r="BZ39" s="4"/>
      <c r="CF39" s="4"/>
    </row>
    <row r="40" ht="15.75" customHeight="1">
      <c r="A40" s="10" t="s">
        <v>53</v>
      </c>
      <c r="B40" s="10">
        <v>4.0</v>
      </c>
      <c r="C40" s="11" t="s">
        <v>57</v>
      </c>
      <c r="D40" s="12" t="s">
        <v>24</v>
      </c>
      <c r="E40" s="13">
        <v>46283.0</v>
      </c>
      <c r="F40" s="13">
        <v>46293.0</v>
      </c>
      <c r="G40" s="12">
        <f t="shared" si="3"/>
        <v>11</v>
      </c>
      <c r="H40" s="12" t="s">
        <v>22</v>
      </c>
      <c r="I40" s="11"/>
      <c r="N40" s="4"/>
      <c r="O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I40" s="4"/>
      <c r="AJ40" s="4"/>
      <c r="AP40" s="4"/>
      <c r="AQ40" s="4"/>
      <c r="AW40" s="4"/>
      <c r="AX40" s="4"/>
      <c r="BD40" s="4"/>
      <c r="BE40" s="4"/>
      <c r="BK40" s="4"/>
      <c r="BL40" s="4"/>
      <c r="BR40" s="4"/>
      <c r="BS40" s="4"/>
      <c r="BY40" s="4"/>
      <c r="BZ40" s="4"/>
      <c r="CF40" s="4"/>
    </row>
    <row r="41" ht="15.75" customHeight="1">
      <c r="A41" s="10" t="s">
        <v>53</v>
      </c>
      <c r="B41" s="10">
        <v>5.0</v>
      </c>
      <c r="C41" s="11" t="s">
        <v>58</v>
      </c>
      <c r="D41" s="12" t="s">
        <v>21</v>
      </c>
      <c r="E41" s="13">
        <v>46293.0</v>
      </c>
      <c r="F41" s="13">
        <v>46300.0</v>
      </c>
      <c r="G41" s="12">
        <f t="shared" si="3"/>
        <v>8</v>
      </c>
      <c r="H41" s="12" t="s">
        <v>22</v>
      </c>
      <c r="I41" s="11"/>
      <c r="N41" s="4"/>
      <c r="O41" s="4"/>
      <c r="U41" s="4"/>
      <c r="V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P41" s="4"/>
      <c r="AQ41" s="4"/>
      <c r="AW41" s="4"/>
      <c r="AX41" s="4"/>
      <c r="BD41" s="4"/>
      <c r="BE41" s="4"/>
      <c r="BK41" s="4"/>
      <c r="BL41" s="4"/>
      <c r="BR41" s="4"/>
      <c r="BS41" s="4"/>
      <c r="BY41" s="4"/>
      <c r="BZ41" s="4"/>
      <c r="CF41" s="4"/>
    </row>
    <row r="42" ht="15.75" customHeight="1">
      <c r="A42" s="10" t="s">
        <v>53</v>
      </c>
      <c r="B42" s="10">
        <v>6.0</v>
      </c>
      <c r="C42" s="11" t="s">
        <v>59</v>
      </c>
      <c r="D42" s="12" t="s">
        <v>21</v>
      </c>
      <c r="E42" s="13">
        <v>46300.0</v>
      </c>
      <c r="F42" s="13">
        <v>46323.0</v>
      </c>
      <c r="G42" s="12">
        <f t="shared" si="3"/>
        <v>24</v>
      </c>
      <c r="H42" s="12" t="s">
        <v>22</v>
      </c>
      <c r="I42" s="11"/>
      <c r="N42" s="4"/>
      <c r="O42" s="4"/>
      <c r="U42" s="4"/>
      <c r="V42" s="4"/>
      <c r="AB42" s="4"/>
      <c r="AC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K42" s="4"/>
      <c r="BL42" s="4"/>
      <c r="BR42" s="4"/>
      <c r="BS42" s="4"/>
      <c r="BY42" s="4"/>
      <c r="BZ42" s="4"/>
      <c r="CF42" s="4"/>
    </row>
    <row r="43" ht="15.75" customHeight="1">
      <c r="A43" s="10" t="s">
        <v>53</v>
      </c>
      <c r="B43" s="10">
        <v>7.0</v>
      </c>
      <c r="C43" s="11" t="s">
        <v>60</v>
      </c>
      <c r="D43" s="12" t="s">
        <v>21</v>
      </c>
      <c r="E43" s="13">
        <v>46323.0</v>
      </c>
      <c r="F43" s="13">
        <v>46335.0</v>
      </c>
      <c r="G43" s="12">
        <f t="shared" si="3"/>
        <v>13</v>
      </c>
      <c r="H43" s="12" t="s">
        <v>22</v>
      </c>
      <c r="I43" s="11"/>
      <c r="N43" s="4"/>
      <c r="O43" s="4"/>
      <c r="U43" s="4"/>
      <c r="V43" s="4"/>
      <c r="AB43" s="4"/>
      <c r="AC43" s="4"/>
      <c r="AI43" s="4"/>
      <c r="AJ43" s="4"/>
      <c r="AP43" s="4"/>
      <c r="AQ43" s="4"/>
      <c r="AW43" s="4"/>
      <c r="AX43" s="4"/>
      <c r="BD43" s="4"/>
      <c r="BE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Y43" s="4"/>
      <c r="BZ43" s="4"/>
      <c r="CF43" s="4"/>
    </row>
    <row r="44" ht="15.75" customHeight="1">
      <c r="A44" s="8" t="s">
        <v>61</v>
      </c>
      <c r="B44" s="9"/>
      <c r="C44" s="9"/>
      <c r="D44" s="9"/>
      <c r="E44" s="9"/>
      <c r="F44" s="9"/>
      <c r="G44" s="9"/>
      <c r="H44" s="9"/>
      <c r="I44" s="9"/>
    </row>
    <row r="45" ht="15.75" customHeight="1">
      <c r="A45" s="10" t="s">
        <v>61</v>
      </c>
      <c r="B45" s="10">
        <v>1.0</v>
      </c>
      <c r="C45" s="11" t="s">
        <v>62</v>
      </c>
      <c r="D45" s="12" t="s">
        <v>37</v>
      </c>
      <c r="E45" s="13">
        <v>46273.0</v>
      </c>
      <c r="F45" s="13">
        <v>46276.0</v>
      </c>
      <c r="G45" s="12">
        <f t="shared" ref="G45:G52" si="4">IF(OR($E45="",$F45=""),"",$F45-$E45+1)</f>
        <v>4</v>
      </c>
      <c r="H45" s="12" t="s">
        <v>22</v>
      </c>
      <c r="I45" s="11"/>
      <c r="J45" s="4"/>
      <c r="K45" s="4"/>
      <c r="L45" s="4"/>
      <c r="M45" s="4"/>
      <c r="N45" s="4"/>
      <c r="O45" s="4"/>
      <c r="U45" s="4"/>
      <c r="V45" s="4"/>
      <c r="AB45" s="4"/>
      <c r="AC45" s="4"/>
      <c r="AI45" s="4"/>
      <c r="AJ45" s="4"/>
      <c r="AP45" s="4"/>
      <c r="AQ45" s="4"/>
      <c r="AW45" s="4"/>
      <c r="AX45" s="4"/>
      <c r="BD45" s="4"/>
      <c r="BE45" s="4"/>
      <c r="BK45" s="4"/>
      <c r="BL45" s="4"/>
      <c r="BR45" s="4"/>
      <c r="BS45" s="4"/>
      <c r="BY45" s="4"/>
      <c r="BZ45" s="4"/>
      <c r="CF45" s="4"/>
    </row>
    <row r="46" ht="15.75" customHeight="1">
      <c r="A46" s="10" t="s">
        <v>61</v>
      </c>
      <c r="B46" s="10">
        <v>2.0</v>
      </c>
      <c r="C46" s="11" t="s">
        <v>63</v>
      </c>
      <c r="D46" s="12" t="s">
        <v>37</v>
      </c>
      <c r="E46" s="13">
        <v>46276.0</v>
      </c>
      <c r="F46" s="13">
        <v>46276.0</v>
      </c>
      <c r="G46" s="12">
        <f t="shared" si="4"/>
        <v>1</v>
      </c>
      <c r="H46" s="12" t="s">
        <v>22</v>
      </c>
      <c r="I46" s="11"/>
      <c r="M46" s="4"/>
      <c r="N46" s="4"/>
      <c r="O46" s="4"/>
      <c r="U46" s="4"/>
      <c r="V46" s="4"/>
      <c r="AB46" s="4"/>
      <c r="AC46" s="4"/>
      <c r="AI46" s="4"/>
      <c r="AJ46" s="4"/>
      <c r="AP46" s="4"/>
      <c r="AQ46" s="4"/>
      <c r="AW46" s="4"/>
      <c r="AX46" s="4"/>
      <c r="BD46" s="4"/>
      <c r="BE46" s="4"/>
      <c r="BK46" s="4"/>
      <c r="BL46" s="4"/>
      <c r="BR46" s="4"/>
      <c r="BS46" s="4"/>
      <c r="BY46" s="4"/>
      <c r="BZ46" s="4"/>
      <c r="CF46" s="4"/>
    </row>
    <row r="47" ht="15.75" customHeight="1">
      <c r="A47" s="10" t="s">
        <v>61</v>
      </c>
      <c r="B47" s="10">
        <v>3.0</v>
      </c>
      <c r="C47" s="11" t="s">
        <v>64</v>
      </c>
      <c r="D47" s="12" t="s">
        <v>24</v>
      </c>
      <c r="E47" s="13">
        <v>46276.0</v>
      </c>
      <c r="F47" s="13">
        <v>46279.0</v>
      </c>
      <c r="G47" s="12">
        <f t="shared" si="4"/>
        <v>4</v>
      </c>
      <c r="H47" s="12" t="s">
        <v>22</v>
      </c>
      <c r="I47" s="11"/>
      <c r="M47" s="4"/>
      <c r="N47" s="4"/>
      <c r="O47" s="4"/>
      <c r="P47" s="4"/>
      <c r="U47" s="4"/>
      <c r="V47" s="4"/>
      <c r="AB47" s="4"/>
      <c r="AC47" s="4"/>
      <c r="AI47" s="4"/>
      <c r="AJ47" s="4"/>
      <c r="AP47" s="4"/>
      <c r="AQ47" s="4"/>
      <c r="AW47" s="4"/>
      <c r="AX47" s="4"/>
      <c r="BD47" s="4"/>
      <c r="BE47" s="4"/>
      <c r="BK47" s="4"/>
      <c r="BL47" s="4"/>
      <c r="BR47" s="4"/>
      <c r="BS47" s="4"/>
      <c r="BY47" s="4"/>
      <c r="BZ47" s="4"/>
      <c r="CF47" s="4"/>
    </row>
    <row r="48" ht="15.75" customHeight="1">
      <c r="A48" s="10" t="s">
        <v>61</v>
      </c>
      <c r="B48" s="10">
        <v>4.0</v>
      </c>
      <c r="C48" s="11" t="s">
        <v>65</v>
      </c>
      <c r="D48" s="12" t="s">
        <v>21</v>
      </c>
      <c r="E48" s="13">
        <v>46283.0</v>
      </c>
      <c r="F48" s="13">
        <v>46290.0</v>
      </c>
      <c r="G48" s="12">
        <f t="shared" si="4"/>
        <v>8</v>
      </c>
      <c r="H48" s="12" t="s">
        <v>22</v>
      </c>
      <c r="I48" s="11"/>
      <c r="N48" s="4"/>
      <c r="O48" s="4"/>
      <c r="T48" s="4"/>
      <c r="U48" s="4"/>
      <c r="V48" s="4"/>
      <c r="W48" s="4"/>
      <c r="X48" s="4"/>
      <c r="Y48" s="4"/>
      <c r="Z48" s="4"/>
      <c r="AA48" s="4"/>
      <c r="AB48" s="4"/>
      <c r="AC48" s="4"/>
      <c r="AI48" s="4"/>
      <c r="AJ48" s="4"/>
      <c r="AP48" s="4"/>
      <c r="AQ48" s="4"/>
      <c r="AW48" s="4"/>
      <c r="AX48" s="4"/>
      <c r="BD48" s="4"/>
      <c r="BE48" s="4"/>
      <c r="BK48" s="4"/>
      <c r="BL48" s="4"/>
      <c r="BR48" s="4"/>
      <c r="BS48" s="4"/>
      <c r="BY48" s="4"/>
      <c r="BZ48" s="4"/>
      <c r="CF48" s="4"/>
    </row>
    <row r="49" ht="15.75" customHeight="1">
      <c r="A49" s="10" t="s">
        <v>61</v>
      </c>
      <c r="B49" s="10">
        <v>5.0</v>
      </c>
      <c r="C49" s="11" t="s">
        <v>66</v>
      </c>
      <c r="D49" s="12" t="s">
        <v>37</v>
      </c>
      <c r="E49" s="13">
        <v>46290.0</v>
      </c>
      <c r="F49" s="13">
        <v>46293.0</v>
      </c>
      <c r="G49" s="12">
        <f t="shared" si="4"/>
        <v>4</v>
      </c>
      <c r="H49" s="12" t="s">
        <v>22</v>
      </c>
      <c r="I49" s="11"/>
      <c r="N49" s="4"/>
      <c r="O49" s="4"/>
      <c r="U49" s="4"/>
      <c r="V49" s="4"/>
      <c r="AA49" s="4"/>
      <c r="AB49" s="4"/>
      <c r="AC49" s="4"/>
      <c r="AD49" s="4"/>
      <c r="AI49" s="4"/>
      <c r="AJ49" s="4"/>
      <c r="AP49" s="4"/>
      <c r="AQ49" s="4"/>
      <c r="AW49" s="4"/>
      <c r="AX49" s="4"/>
      <c r="BD49" s="4"/>
      <c r="BE49" s="4"/>
      <c r="BK49" s="4"/>
      <c r="BL49" s="4"/>
      <c r="BR49" s="4"/>
      <c r="BS49" s="4"/>
      <c r="BY49" s="4"/>
      <c r="BZ49" s="4"/>
      <c r="CF49" s="4"/>
    </row>
    <row r="50" ht="15.75" customHeight="1">
      <c r="A50" s="10" t="s">
        <v>61</v>
      </c>
      <c r="B50" s="10">
        <v>6.0</v>
      </c>
      <c r="C50" s="11" t="s">
        <v>67</v>
      </c>
      <c r="D50" s="12" t="s">
        <v>21</v>
      </c>
      <c r="E50" s="13">
        <v>46290.0</v>
      </c>
      <c r="F50" s="13">
        <v>46290.0</v>
      </c>
      <c r="G50" s="12">
        <f t="shared" si="4"/>
        <v>1</v>
      </c>
      <c r="H50" s="12" t="s">
        <v>22</v>
      </c>
      <c r="I50" s="11"/>
      <c r="N50" s="4"/>
      <c r="O50" s="4"/>
      <c r="U50" s="4"/>
      <c r="V50" s="4"/>
      <c r="AA50" s="4"/>
      <c r="AB50" s="4"/>
      <c r="AC50" s="4"/>
      <c r="AI50" s="4"/>
      <c r="AJ50" s="4"/>
      <c r="AP50" s="4"/>
      <c r="AQ50" s="4"/>
      <c r="AW50" s="4"/>
      <c r="AX50" s="4"/>
      <c r="BD50" s="4"/>
      <c r="BE50" s="4"/>
      <c r="BK50" s="4"/>
      <c r="BL50" s="4"/>
      <c r="BR50" s="4"/>
      <c r="BS50" s="4"/>
      <c r="BY50" s="4"/>
      <c r="BZ50" s="4"/>
      <c r="CF50" s="4"/>
    </row>
    <row r="51" ht="15.75" customHeight="1">
      <c r="A51" s="10" t="s">
        <v>61</v>
      </c>
      <c r="B51" s="10">
        <v>7.0</v>
      </c>
      <c r="C51" s="11" t="s">
        <v>68</v>
      </c>
      <c r="D51" s="12" t="s">
        <v>24</v>
      </c>
      <c r="E51" s="13">
        <v>46290.0</v>
      </c>
      <c r="F51" s="13">
        <v>46290.0</v>
      </c>
      <c r="G51" s="12">
        <f t="shared" si="4"/>
        <v>1</v>
      </c>
      <c r="H51" s="12" t="s">
        <v>22</v>
      </c>
      <c r="I51" s="11"/>
      <c r="N51" s="4"/>
      <c r="O51" s="4"/>
      <c r="U51" s="4"/>
      <c r="V51" s="4"/>
      <c r="AA51" s="4"/>
      <c r="AB51" s="4"/>
      <c r="AC51" s="4"/>
      <c r="AI51" s="4"/>
      <c r="AJ51" s="4"/>
      <c r="AP51" s="4"/>
      <c r="AQ51" s="4"/>
      <c r="AW51" s="4"/>
      <c r="AX51" s="4"/>
      <c r="BD51" s="4"/>
      <c r="BE51" s="4"/>
      <c r="BK51" s="4"/>
      <c r="BL51" s="4"/>
      <c r="BR51" s="4"/>
      <c r="BS51" s="4"/>
      <c r="BY51" s="4"/>
      <c r="BZ51" s="4"/>
      <c r="CF51" s="4"/>
    </row>
    <row r="52" ht="15.75" customHeight="1">
      <c r="A52" s="10" t="s">
        <v>61</v>
      </c>
      <c r="B52" s="10">
        <v>8.0</v>
      </c>
      <c r="C52" s="11" t="s">
        <v>69</v>
      </c>
      <c r="D52" s="12" t="s">
        <v>37</v>
      </c>
      <c r="E52" s="13">
        <v>46290.0</v>
      </c>
      <c r="F52" s="13">
        <v>46295.0</v>
      </c>
      <c r="G52" s="12">
        <f t="shared" si="4"/>
        <v>6</v>
      </c>
      <c r="H52" s="12" t="s">
        <v>22</v>
      </c>
      <c r="I52" s="11"/>
      <c r="N52" s="4"/>
      <c r="O52" s="4"/>
      <c r="U52" s="4"/>
      <c r="V52" s="4"/>
      <c r="AA52" s="4"/>
      <c r="AB52" s="4"/>
      <c r="AC52" s="4"/>
      <c r="AD52" s="4"/>
      <c r="AE52" s="4"/>
      <c r="AF52" s="4"/>
      <c r="AI52" s="4"/>
      <c r="AJ52" s="4"/>
      <c r="AP52" s="4"/>
      <c r="AQ52" s="4"/>
      <c r="AW52" s="4"/>
      <c r="AX52" s="4"/>
      <c r="BD52" s="4"/>
      <c r="BE52" s="4"/>
      <c r="BK52" s="4"/>
      <c r="BL52" s="4"/>
      <c r="BR52" s="4"/>
      <c r="BS52" s="4"/>
      <c r="BY52" s="4"/>
      <c r="BZ52" s="4"/>
      <c r="CF52" s="4"/>
    </row>
    <row r="53" ht="15.75" customHeight="1">
      <c r="A53" s="8" t="s">
        <v>70</v>
      </c>
      <c r="B53" s="9"/>
      <c r="C53" s="9"/>
      <c r="D53" s="9"/>
      <c r="E53" s="9"/>
      <c r="F53" s="9"/>
      <c r="G53" s="9"/>
      <c r="H53" s="9"/>
      <c r="I53" s="9"/>
    </row>
    <row r="54" ht="15.75" customHeight="1">
      <c r="A54" s="10" t="s">
        <v>70</v>
      </c>
      <c r="B54" s="10">
        <v>1.0</v>
      </c>
      <c r="C54" s="11" t="s">
        <v>71</v>
      </c>
      <c r="D54" s="12" t="s">
        <v>24</v>
      </c>
      <c r="E54" s="13">
        <v>46273.0</v>
      </c>
      <c r="F54" s="13">
        <v>46274.0</v>
      </c>
      <c r="G54" s="12">
        <f t="shared" ref="G54:G63" si="5">IF(OR($E54="",$F54=""),"",$F54-$E54+1)</f>
        <v>2</v>
      </c>
      <c r="H54" s="12" t="s">
        <v>22</v>
      </c>
      <c r="I54" s="11"/>
      <c r="J54" s="4"/>
      <c r="K54" s="4"/>
      <c r="N54" s="4"/>
      <c r="O54" s="4"/>
      <c r="U54" s="4"/>
      <c r="V54" s="4"/>
      <c r="AB54" s="4"/>
      <c r="AC54" s="4"/>
      <c r="AI54" s="4"/>
      <c r="AJ54" s="4"/>
      <c r="AP54" s="4"/>
      <c r="AQ54" s="4"/>
      <c r="AW54" s="4"/>
      <c r="AX54" s="4"/>
      <c r="BD54" s="4"/>
      <c r="BE54" s="4"/>
      <c r="BK54" s="4"/>
      <c r="BL54" s="4"/>
      <c r="BR54" s="4"/>
      <c r="BS54" s="4"/>
      <c r="BY54" s="4"/>
      <c r="BZ54" s="4"/>
      <c r="CF54" s="4"/>
    </row>
    <row r="55" ht="15.75" customHeight="1">
      <c r="A55" s="10" t="s">
        <v>70</v>
      </c>
      <c r="B55" s="10">
        <v>2.0</v>
      </c>
      <c r="C55" s="11" t="s">
        <v>72</v>
      </c>
      <c r="D55" s="12" t="s">
        <v>24</v>
      </c>
      <c r="E55" s="13">
        <v>46273.0</v>
      </c>
      <c r="F55" s="13">
        <v>46276.0</v>
      </c>
      <c r="G55" s="12">
        <f t="shared" si="5"/>
        <v>4</v>
      </c>
      <c r="H55" s="12" t="s">
        <v>22</v>
      </c>
      <c r="I55" s="11"/>
      <c r="J55" s="4"/>
      <c r="K55" s="4"/>
      <c r="L55" s="4"/>
      <c r="M55" s="4"/>
      <c r="N55" s="4"/>
      <c r="O55" s="4"/>
      <c r="U55" s="4"/>
      <c r="V55" s="4"/>
      <c r="AB55" s="4"/>
      <c r="AC55" s="4"/>
      <c r="AI55" s="4"/>
      <c r="AJ55" s="4"/>
      <c r="AP55" s="4"/>
      <c r="AQ55" s="4"/>
      <c r="AW55" s="4"/>
      <c r="AX55" s="4"/>
      <c r="BD55" s="4"/>
      <c r="BE55" s="4"/>
      <c r="BK55" s="4"/>
      <c r="BL55" s="4"/>
      <c r="BR55" s="4"/>
      <c r="BS55" s="4"/>
      <c r="BY55" s="4"/>
      <c r="BZ55" s="4"/>
      <c r="CF55" s="4"/>
    </row>
    <row r="56" ht="15.75" customHeight="1">
      <c r="A56" s="10" t="s">
        <v>70</v>
      </c>
      <c r="B56" s="10">
        <v>3.0</v>
      </c>
      <c r="C56" s="11" t="s">
        <v>73</v>
      </c>
      <c r="D56" s="12" t="s">
        <v>21</v>
      </c>
      <c r="E56" s="13">
        <v>46279.0</v>
      </c>
      <c r="F56" s="13">
        <v>46286.0</v>
      </c>
      <c r="G56" s="12">
        <f t="shared" si="5"/>
        <v>8</v>
      </c>
      <c r="H56" s="12" t="s">
        <v>22</v>
      </c>
      <c r="I56" s="11"/>
      <c r="N56" s="4"/>
      <c r="O56" s="4"/>
      <c r="P56" s="4"/>
      <c r="Q56" s="4"/>
      <c r="R56" s="4"/>
      <c r="S56" s="4"/>
      <c r="T56" s="4"/>
      <c r="U56" s="4"/>
      <c r="V56" s="4"/>
      <c r="W56" s="4"/>
      <c r="AB56" s="4"/>
      <c r="AC56" s="4"/>
      <c r="AI56" s="4"/>
      <c r="AJ56" s="4"/>
      <c r="AP56" s="4"/>
      <c r="AQ56" s="4"/>
      <c r="AW56" s="4"/>
      <c r="AX56" s="4"/>
      <c r="BD56" s="4"/>
      <c r="BE56" s="4"/>
      <c r="BK56" s="4"/>
      <c r="BL56" s="4"/>
      <c r="BR56" s="4"/>
      <c r="BS56" s="4"/>
      <c r="BY56" s="4"/>
      <c r="BZ56" s="4"/>
      <c r="CF56" s="4"/>
    </row>
    <row r="57" ht="15.75" customHeight="1">
      <c r="A57" s="10" t="s">
        <v>70</v>
      </c>
      <c r="B57" s="10">
        <v>4.0</v>
      </c>
      <c r="C57" s="11" t="s">
        <v>74</v>
      </c>
      <c r="D57" s="12" t="s">
        <v>21</v>
      </c>
      <c r="E57" s="13">
        <v>46286.0</v>
      </c>
      <c r="F57" s="13">
        <v>46293.0</v>
      </c>
      <c r="G57" s="12">
        <f t="shared" si="5"/>
        <v>8</v>
      </c>
      <c r="H57" s="12" t="s">
        <v>22</v>
      </c>
      <c r="I57" s="11"/>
      <c r="N57" s="4"/>
      <c r="O57" s="4"/>
      <c r="U57" s="4"/>
      <c r="V57" s="4"/>
      <c r="W57" s="4"/>
      <c r="X57" s="4"/>
      <c r="Y57" s="4"/>
      <c r="Z57" s="4"/>
      <c r="AA57" s="4"/>
      <c r="AB57" s="4"/>
      <c r="AC57" s="4"/>
      <c r="AD57" s="4"/>
      <c r="AI57" s="4"/>
      <c r="AJ57" s="4"/>
      <c r="AP57" s="4"/>
      <c r="AQ57" s="4"/>
      <c r="AW57" s="4"/>
      <c r="AX57" s="4"/>
      <c r="BD57" s="4"/>
      <c r="BE57" s="4"/>
      <c r="BK57" s="4"/>
      <c r="BL57" s="4"/>
      <c r="BR57" s="4"/>
      <c r="BS57" s="4"/>
      <c r="BY57" s="4"/>
      <c r="BZ57" s="4"/>
      <c r="CF57" s="4"/>
    </row>
    <row r="58" ht="15.75" customHeight="1">
      <c r="A58" s="10" t="s">
        <v>70</v>
      </c>
      <c r="B58" s="10">
        <v>5.0</v>
      </c>
      <c r="C58" s="11" t="s">
        <v>75</v>
      </c>
      <c r="D58" s="12" t="s">
        <v>21</v>
      </c>
      <c r="E58" s="13">
        <v>46293.0</v>
      </c>
      <c r="F58" s="13">
        <v>46293.0</v>
      </c>
      <c r="G58" s="12">
        <f t="shared" si="5"/>
        <v>1</v>
      </c>
      <c r="H58" s="12" t="s">
        <v>22</v>
      </c>
      <c r="I58" s="11"/>
      <c r="N58" s="4"/>
      <c r="O58" s="4"/>
      <c r="U58" s="4"/>
      <c r="V58" s="4"/>
      <c r="AB58" s="4"/>
      <c r="AC58" s="4"/>
      <c r="AD58" s="4"/>
      <c r="AI58" s="4"/>
      <c r="AJ58" s="4"/>
      <c r="AP58" s="4"/>
      <c r="AQ58" s="4"/>
      <c r="AW58" s="4"/>
      <c r="AX58" s="4"/>
      <c r="BD58" s="4"/>
      <c r="BE58" s="4"/>
      <c r="BK58" s="4"/>
      <c r="BL58" s="4"/>
      <c r="BR58" s="4"/>
      <c r="BS58" s="4"/>
      <c r="BY58" s="4"/>
      <c r="BZ58" s="4"/>
      <c r="CF58" s="4"/>
    </row>
    <row r="59" ht="15.75" customHeight="1">
      <c r="A59" s="10" t="s">
        <v>70</v>
      </c>
      <c r="B59" s="10">
        <v>6.0</v>
      </c>
      <c r="C59" s="11" t="s">
        <v>76</v>
      </c>
      <c r="D59" s="12" t="s">
        <v>21</v>
      </c>
      <c r="E59" s="13">
        <v>46294.0</v>
      </c>
      <c r="F59" s="13">
        <v>46297.0</v>
      </c>
      <c r="G59" s="12">
        <f t="shared" si="5"/>
        <v>4</v>
      </c>
      <c r="H59" s="12" t="s">
        <v>22</v>
      </c>
      <c r="I59" s="11"/>
      <c r="N59" s="4"/>
      <c r="O59" s="4"/>
      <c r="U59" s="4"/>
      <c r="V59" s="4"/>
      <c r="AB59" s="4"/>
      <c r="AC59" s="4"/>
      <c r="AE59" s="4"/>
      <c r="AF59" s="4"/>
      <c r="AG59" s="4"/>
      <c r="AH59" s="4"/>
      <c r="AI59" s="4"/>
      <c r="AJ59" s="4"/>
      <c r="AP59" s="4"/>
      <c r="AQ59" s="4"/>
      <c r="AW59" s="4"/>
      <c r="AX59" s="4"/>
      <c r="BD59" s="4"/>
      <c r="BE59" s="4"/>
      <c r="BK59" s="4"/>
      <c r="BL59" s="4"/>
      <c r="BR59" s="4"/>
      <c r="BS59" s="4"/>
      <c r="BY59" s="4"/>
      <c r="BZ59" s="4"/>
      <c r="CF59" s="4"/>
    </row>
    <row r="60" ht="15.75" customHeight="1">
      <c r="A60" s="10" t="s">
        <v>70</v>
      </c>
      <c r="B60" s="10">
        <v>7.0</v>
      </c>
      <c r="C60" s="11" t="s">
        <v>77</v>
      </c>
      <c r="D60" s="12" t="s">
        <v>21</v>
      </c>
      <c r="E60" s="13">
        <v>46297.0</v>
      </c>
      <c r="F60" s="13">
        <v>46304.0</v>
      </c>
      <c r="G60" s="12">
        <f t="shared" si="5"/>
        <v>8</v>
      </c>
      <c r="H60" s="12" t="s">
        <v>22</v>
      </c>
      <c r="I60" s="11"/>
      <c r="N60" s="4"/>
      <c r="O60" s="4"/>
      <c r="U60" s="4"/>
      <c r="V60" s="4"/>
      <c r="AB60" s="4"/>
      <c r="AC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W60" s="4"/>
      <c r="AX60" s="4"/>
      <c r="BD60" s="4"/>
      <c r="BE60" s="4"/>
      <c r="BK60" s="4"/>
      <c r="BL60" s="4"/>
      <c r="BR60" s="4"/>
      <c r="BS60" s="4"/>
      <c r="BY60" s="4"/>
      <c r="BZ60" s="4"/>
      <c r="CF60" s="4"/>
    </row>
    <row r="61" ht="15.75" customHeight="1">
      <c r="A61" s="10" t="s">
        <v>70</v>
      </c>
      <c r="B61" s="10">
        <v>8.0</v>
      </c>
      <c r="C61" s="11" t="s">
        <v>78</v>
      </c>
      <c r="D61" s="12" t="s">
        <v>21</v>
      </c>
      <c r="E61" s="13">
        <v>46304.0</v>
      </c>
      <c r="F61" s="13">
        <v>46311.0</v>
      </c>
      <c r="G61" s="12">
        <f t="shared" si="5"/>
        <v>8</v>
      </c>
      <c r="H61" s="12" t="s">
        <v>22</v>
      </c>
      <c r="I61" s="11"/>
      <c r="N61" s="4"/>
      <c r="O61" s="4"/>
      <c r="U61" s="4"/>
      <c r="V61" s="4"/>
      <c r="AB61" s="4"/>
      <c r="AC61" s="4"/>
      <c r="AI61" s="4"/>
      <c r="AJ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BD61" s="4"/>
      <c r="BE61" s="4"/>
      <c r="BK61" s="4"/>
      <c r="BL61" s="4"/>
      <c r="BR61" s="4"/>
      <c r="BS61" s="4"/>
      <c r="BY61" s="4"/>
      <c r="BZ61" s="4"/>
      <c r="CF61" s="4"/>
    </row>
    <row r="62" ht="15.75" customHeight="1">
      <c r="A62" s="10" t="s">
        <v>70</v>
      </c>
      <c r="B62" s="10">
        <v>9.0</v>
      </c>
      <c r="C62" s="11" t="s">
        <v>79</v>
      </c>
      <c r="D62" s="12" t="s">
        <v>21</v>
      </c>
      <c r="E62" s="13">
        <v>46311.0</v>
      </c>
      <c r="F62" s="13">
        <v>46311.0</v>
      </c>
      <c r="G62" s="12">
        <f t="shared" si="5"/>
        <v>1</v>
      </c>
      <c r="H62" s="12" t="s">
        <v>22</v>
      </c>
      <c r="I62" s="11"/>
      <c r="N62" s="4"/>
      <c r="O62" s="4"/>
      <c r="U62" s="4"/>
      <c r="V62" s="4"/>
      <c r="AB62" s="4"/>
      <c r="AC62" s="4"/>
      <c r="AI62" s="4"/>
      <c r="AJ62" s="4"/>
      <c r="AP62" s="4"/>
      <c r="AQ62" s="4"/>
      <c r="AV62" s="4"/>
      <c r="AW62" s="4"/>
      <c r="AX62" s="4"/>
      <c r="BD62" s="4"/>
      <c r="BE62" s="4"/>
      <c r="BK62" s="4"/>
      <c r="BL62" s="4"/>
      <c r="BR62" s="4"/>
      <c r="BS62" s="4"/>
      <c r="BY62" s="4"/>
      <c r="BZ62" s="4"/>
      <c r="CF62" s="4"/>
    </row>
    <row r="63" ht="15.75" customHeight="1">
      <c r="A63" s="10" t="s">
        <v>70</v>
      </c>
      <c r="B63" s="10">
        <v>10.0</v>
      </c>
      <c r="C63" s="11" t="s">
        <v>80</v>
      </c>
      <c r="D63" s="12" t="s">
        <v>21</v>
      </c>
      <c r="E63" s="13">
        <v>46311.0</v>
      </c>
      <c r="F63" s="13">
        <v>46318.0</v>
      </c>
      <c r="G63" s="12">
        <f t="shared" si="5"/>
        <v>8</v>
      </c>
      <c r="H63" s="12" t="s">
        <v>22</v>
      </c>
      <c r="I63" s="11"/>
      <c r="N63" s="4"/>
      <c r="O63" s="4"/>
      <c r="U63" s="4"/>
      <c r="V63" s="4"/>
      <c r="AB63" s="4"/>
      <c r="AC63" s="4"/>
      <c r="AI63" s="4"/>
      <c r="AJ63" s="4"/>
      <c r="AP63" s="4"/>
      <c r="AQ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K63" s="4"/>
      <c r="BL63" s="4"/>
      <c r="BR63" s="4"/>
      <c r="BS63" s="4"/>
      <c r="BY63" s="4"/>
      <c r="BZ63" s="4"/>
      <c r="CF63" s="4"/>
    </row>
    <row r="64" ht="15.75" customHeight="1">
      <c r="A64" s="8" t="s">
        <v>81</v>
      </c>
      <c r="B64" s="9"/>
      <c r="C64" s="9"/>
      <c r="D64" s="9"/>
      <c r="E64" s="9"/>
      <c r="F64" s="9"/>
      <c r="G64" s="9"/>
      <c r="H64" s="9"/>
      <c r="I64" s="9"/>
    </row>
    <row r="65" ht="15.75" customHeight="1">
      <c r="A65" s="10" t="s">
        <v>81</v>
      </c>
      <c r="B65" s="10">
        <v>1.0</v>
      </c>
      <c r="C65" s="11" t="s">
        <v>82</v>
      </c>
      <c r="D65" s="12" t="s">
        <v>21</v>
      </c>
      <c r="E65" s="13">
        <v>46293.0</v>
      </c>
      <c r="F65" s="13">
        <v>46300.0</v>
      </c>
      <c r="G65" s="12">
        <f t="shared" ref="G65:G68" si="6">IF(OR($E65="",$F65=""),"",$F65-$E65+1)</f>
        <v>8</v>
      </c>
      <c r="H65" s="12" t="s">
        <v>22</v>
      </c>
      <c r="I65" s="11"/>
      <c r="N65" s="4"/>
      <c r="O65" s="4"/>
      <c r="U65" s="4"/>
      <c r="V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P65" s="4"/>
      <c r="AQ65" s="4"/>
      <c r="AW65" s="4"/>
      <c r="AX65" s="4"/>
      <c r="BD65" s="4"/>
      <c r="BE65" s="4"/>
      <c r="BK65" s="4"/>
      <c r="BL65" s="4"/>
      <c r="BR65" s="4"/>
      <c r="BS65" s="4"/>
      <c r="BY65" s="4"/>
      <c r="BZ65" s="4"/>
      <c r="CF65" s="4"/>
    </row>
    <row r="66" ht="15.75" customHeight="1">
      <c r="A66" s="10" t="s">
        <v>81</v>
      </c>
      <c r="B66" s="10">
        <v>2.0</v>
      </c>
      <c r="C66" s="11" t="s">
        <v>83</v>
      </c>
      <c r="D66" s="12" t="s">
        <v>24</v>
      </c>
      <c r="E66" s="13">
        <v>46300.0</v>
      </c>
      <c r="F66" s="13">
        <v>46301.0</v>
      </c>
      <c r="G66" s="12">
        <f t="shared" si="6"/>
        <v>2</v>
      </c>
      <c r="H66" s="12" t="s">
        <v>22</v>
      </c>
      <c r="I66" s="11"/>
      <c r="N66" s="4"/>
      <c r="O66" s="4"/>
      <c r="U66" s="4"/>
      <c r="V66" s="4"/>
      <c r="AB66" s="4"/>
      <c r="AC66" s="4"/>
      <c r="AI66" s="4"/>
      <c r="AJ66" s="4"/>
      <c r="AK66" s="4"/>
      <c r="AL66" s="4"/>
      <c r="AP66" s="4"/>
      <c r="AQ66" s="4"/>
      <c r="AW66" s="4"/>
      <c r="AX66" s="4"/>
      <c r="BD66" s="4"/>
      <c r="BE66" s="4"/>
      <c r="BK66" s="4"/>
      <c r="BL66" s="4"/>
      <c r="BR66" s="4"/>
      <c r="BS66" s="4"/>
      <c r="BY66" s="4"/>
      <c r="BZ66" s="4"/>
      <c r="CF66" s="4"/>
    </row>
    <row r="67" ht="15.75" customHeight="1">
      <c r="A67" s="10" t="s">
        <v>81</v>
      </c>
      <c r="B67" s="10">
        <v>3.0</v>
      </c>
      <c r="C67" s="11" t="s">
        <v>84</v>
      </c>
      <c r="D67" s="12" t="s">
        <v>21</v>
      </c>
      <c r="E67" s="13">
        <v>46301.0</v>
      </c>
      <c r="F67" s="13">
        <v>46304.0</v>
      </c>
      <c r="G67" s="12">
        <f t="shared" si="6"/>
        <v>4</v>
      </c>
      <c r="H67" s="12" t="s">
        <v>22</v>
      </c>
      <c r="I67" s="11"/>
      <c r="N67" s="4"/>
      <c r="O67" s="4"/>
      <c r="U67" s="4"/>
      <c r="V67" s="4"/>
      <c r="AB67" s="4"/>
      <c r="AC67" s="4"/>
      <c r="AI67" s="4"/>
      <c r="AJ67" s="4"/>
      <c r="AL67" s="4"/>
      <c r="AM67" s="4"/>
      <c r="AN67" s="4"/>
      <c r="AO67" s="4"/>
      <c r="AP67" s="4"/>
      <c r="AQ67" s="4"/>
      <c r="AW67" s="4"/>
      <c r="AX67" s="4"/>
      <c r="BD67" s="4"/>
      <c r="BE67" s="4"/>
      <c r="BK67" s="4"/>
      <c r="BL67" s="4"/>
      <c r="BR67" s="4"/>
      <c r="BS67" s="4"/>
      <c r="BY67" s="4"/>
      <c r="BZ67" s="4"/>
      <c r="CF67" s="4"/>
    </row>
    <row r="68" ht="15.75" customHeight="1">
      <c r="A68" s="10" t="s">
        <v>81</v>
      </c>
      <c r="B68" s="10">
        <v>4.0</v>
      </c>
      <c r="C68" s="11" t="s">
        <v>85</v>
      </c>
      <c r="D68" s="12" t="s">
        <v>21</v>
      </c>
      <c r="E68" s="13">
        <v>46304.0</v>
      </c>
      <c r="F68" s="13">
        <v>46304.0</v>
      </c>
      <c r="G68" s="12">
        <f t="shared" si="6"/>
        <v>1</v>
      </c>
      <c r="H68" s="12" t="s">
        <v>22</v>
      </c>
      <c r="I68" s="11"/>
      <c r="N68" s="4"/>
      <c r="O68" s="4"/>
      <c r="U68" s="4"/>
      <c r="V68" s="4"/>
      <c r="AB68" s="4"/>
      <c r="AC68" s="4"/>
      <c r="AI68" s="4"/>
      <c r="AJ68" s="4"/>
      <c r="AO68" s="4"/>
      <c r="AP68" s="4"/>
      <c r="AQ68" s="4"/>
      <c r="AW68" s="4"/>
      <c r="AX68" s="4"/>
      <c r="BD68" s="4"/>
      <c r="BE68" s="4"/>
      <c r="BK68" s="4"/>
      <c r="BL68" s="4"/>
      <c r="BR68" s="4"/>
      <c r="BS68" s="4"/>
      <c r="BY68" s="4"/>
      <c r="BZ68" s="4"/>
      <c r="CF68" s="4"/>
    </row>
    <row r="69" ht="15.75" customHeight="1">
      <c r="A69" s="8" t="s">
        <v>86</v>
      </c>
      <c r="B69" s="9"/>
      <c r="C69" s="9"/>
      <c r="D69" s="9"/>
      <c r="E69" s="9"/>
      <c r="F69" s="9"/>
      <c r="G69" s="9"/>
      <c r="H69" s="9"/>
      <c r="I69" s="9"/>
    </row>
    <row r="70" ht="15.75" customHeight="1">
      <c r="A70" s="10" t="s">
        <v>86</v>
      </c>
      <c r="B70" s="10">
        <v>1.0</v>
      </c>
      <c r="C70" s="11" t="s">
        <v>87</v>
      </c>
      <c r="D70" s="12" t="s">
        <v>37</v>
      </c>
      <c r="E70" s="13">
        <v>46273.0</v>
      </c>
      <c r="F70" s="13">
        <v>46283.0</v>
      </c>
      <c r="G70" s="12">
        <f t="shared" ref="G70:G73" si="7">IF(OR($E70="",$F70=""),"",$F70-$E70+1)</f>
        <v>11</v>
      </c>
      <c r="H70" s="12" t="s">
        <v>22</v>
      </c>
      <c r="I70" s="1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AB70" s="4"/>
      <c r="AC70" s="4"/>
      <c r="AI70" s="4"/>
      <c r="AJ70" s="4"/>
      <c r="AP70" s="4"/>
      <c r="AQ70" s="4"/>
      <c r="AW70" s="4"/>
      <c r="AX70" s="4"/>
      <c r="BD70" s="4"/>
      <c r="BE70" s="4"/>
      <c r="BK70" s="4"/>
      <c r="BL70" s="4"/>
      <c r="BR70" s="4"/>
      <c r="BS70" s="4"/>
      <c r="BY70" s="4"/>
      <c r="BZ70" s="4"/>
      <c r="CF70" s="4"/>
    </row>
    <row r="71" ht="15.75" customHeight="1">
      <c r="A71" s="10" t="s">
        <v>86</v>
      </c>
      <c r="B71" s="10">
        <v>2.0</v>
      </c>
      <c r="C71" s="11" t="s">
        <v>88</v>
      </c>
      <c r="D71" s="12" t="s">
        <v>24</v>
      </c>
      <c r="E71" s="13">
        <v>46283.0</v>
      </c>
      <c r="F71" s="13">
        <v>46290.0</v>
      </c>
      <c r="G71" s="12">
        <f t="shared" si="7"/>
        <v>8</v>
      </c>
      <c r="H71" s="12" t="s">
        <v>22</v>
      </c>
      <c r="I71" s="11"/>
      <c r="N71" s="4"/>
      <c r="O71" s="4"/>
      <c r="T71" s="4"/>
      <c r="U71" s="4"/>
      <c r="V71" s="4"/>
      <c r="W71" s="4"/>
      <c r="X71" s="4"/>
      <c r="Y71" s="4"/>
      <c r="Z71" s="4"/>
      <c r="AA71" s="4"/>
      <c r="AB71" s="4"/>
      <c r="AC71" s="4"/>
      <c r="AI71" s="4"/>
      <c r="AJ71" s="4"/>
      <c r="AP71" s="4"/>
      <c r="AQ71" s="4"/>
      <c r="AW71" s="4"/>
      <c r="AX71" s="4"/>
      <c r="BD71" s="4"/>
      <c r="BE71" s="4"/>
      <c r="BK71" s="4"/>
      <c r="BL71" s="4"/>
      <c r="BR71" s="4"/>
      <c r="BS71" s="4"/>
      <c r="BY71" s="4"/>
      <c r="BZ71" s="4"/>
      <c r="CF71" s="4"/>
    </row>
    <row r="72" ht="15.75" customHeight="1">
      <c r="A72" s="10" t="s">
        <v>86</v>
      </c>
      <c r="B72" s="10">
        <v>3.0</v>
      </c>
      <c r="C72" s="11" t="s">
        <v>89</v>
      </c>
      <c r="D72" s="12" t="s">
        <v>37</v>
      </c>
      <c r="E72" s="13">
        <v>46304.0</v>
      </c>
      <c r="F72" s="13">
        <v>46306.0</v>
      </c>
      <c r="G72" s="12">
        <f t="shared" si="7"/>
        <v>3</v>
      </c>
      <c r="H72" s="12" t="s">
        <v>22</v>
      </c>
      <c r="I72" s="11"/>
      <c r="N72" s="4"/>
      <c r="O72" s="4"/>
      <c r="U72" s="4"/>
      <c r="V72" s="4"/>
      <c r="AB72" s="4"/>
      <c r="AC72" s="4"/>
      <c r="AI72" s="4"/>
      <c r="AJ72" s="4"/>
      <c r="AO72" s="4"/>
      <c r="AP72" s="4"/>
      <c r="AQ72" s="4"/>
      <c r="AW72" s="4"/>
      <c r="AX72" s="4"/>
      <c r="BD72" s="4"/>
      <c r="BE72" s="4"/>
      <c r="BK72" s="4"/>
      <c r="BL72" s="4"/>
      <c r="BR72" s="4"/>
      <c r="BS72" s="4"/>
      <c r="BY72" s="4"/>
      <c r="BZ72" s="4"/>
      <c r="CF72" s="4"/>
    </row>
    <row r="73" ht="15.75" customHeight="1">
      <c r="A73" s="10" t="s">
        <v>86</v>
      </c>
      <c r="B73" s="10">
        <v>4.0</v>
      </c>
      <c r="C73" s="11" t="s">
        <v>90</v>
      </c>
      <c r="D73" s="12" t="s">
        <v>37</v>
      </c>
      <c r="E73" s="13">
        <v>46306.0</v>
      </c>
      <c r="F73" s="13">
        <v>46308.0</v>
      </c>
      <c r="G73" s="12">
        <f t="shared" si="7"/>
        <v>3</v>
      </c>
      <c r="H73" s="12" t="s">
        <v>22</v>
      </c>
      <c r="I73" s="11"/>
      <c r="N73" s="4"/>
      <c r="O73" s="4"/>
      <c r="U73" s="4"/>
      <c r="V73" s="4"/>
      <c r="AB73" s="4"/>
      <c r="AC73" s="4"/>
      <c r="AI73" s="4"/>
      <c r="AJ73" s="4"/>
      <c r="AP73" s="4"/>
      <c r="AQ73" s="4"/>
      <c r="AR73" s="4"/>
      <c r="AS73" s="4"/>
      <c r="AW73" s="4"/>
      <c r="AX73" s="4"/>
      <c r="BD73" s="4"/>
      <c r="BE73" s="4"/>
      <c r="BK73" s="4"/>
      <c r="BL73" s="4"/>
      <c r="BR73" s="4"/>
      <c r="BS73" s="4"/>
      <c r="BY73" s="4"/>
      <c r="BZ73" s="4"/>
      <c r="CF73" s="4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73">
    <cfRule type="expression" dxfId="0" priority="1">
      <formula>$H6="Complete"</formula>
    </cfRule>
  </conditionalFormatting>
  <conditionalFormatting sqref="C6:C73">
    <cfRule type="expression" dxfId="1" priority="2">
      <formula>$H6="Blocked"</formula>
    </cfRule>
  </conditionalFormatting>
  <conditionalFormatting sqref="J3:CF5">
    <cfRule type="expression" dxfId="2" priority="3">
      <formula>J$4=TODAY()</formula>
    </cfRule>
  </conditionalFormatting>
  <conditionalFormatting sqref="J6:CF73">
    <cfRule type="expression" dxfId="3" priority="4">
      <formula>AND($D6="Pattern",$E6&lt;&gt;"",J$4&gt;=$E6,J$4&lt;=$F6)</formula>
    </cfRule>
  </conditionalFormatting>
  <conditionalFormatting sqref="J6:CF73">
    <cfRule type="expression" dxfId="4" priority="5">
      <formula>AND($D6="Brand",$E6&lt;&gt;"",J$4&gt;=$E6,J$4&lt;=$F6)</formula>
    </cfRule>
  </conditionalFormatting>
  <conditionalFormatting sqref="J6:CF73">
    <cfRule type="expression" dxfId="5" priority="6">
      <formula>AND($D6="Pattern/Brand",$E6&lt;&gt;"",J$4&gt;=$E6,J$4&lt;=$F6)</formula>
    </cfRule>
  </conditionalFormatting>
  <conditionalFormatting sqref="J6:CF73">
    <cfRule type="expression" dxfId="6" priority="7">
      <formula>AND($E6&lt;&gt;"",WEEKDAY(J$4,2)&gt;5)</formula>
    </cfRule>
  </conditionalFormatting>
  <dataValidations>
    <dataValidation type="list" allowBlank="1" sqref="H6:H73">
      <formula1>"Not Started,In Progress,Complete,Blocked,At Risk"</formula1>
    </dataValidation>
  </dataValidations>
  <printOptions/>
  <pageMargins bottom="1.0" footer="0.0" header="0.0" left="0.75" right="0.75" top="1.0"/>
  <pageSetup orientation="landscape"/>
  <drawing r:id="rId1"/>
</worksheet>
</file>